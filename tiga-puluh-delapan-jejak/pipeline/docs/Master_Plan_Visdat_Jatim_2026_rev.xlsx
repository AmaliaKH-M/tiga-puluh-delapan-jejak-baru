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aca Dulu" sheetId="1" state="visible" r:id="rId3"/>
    <sheet name="Master Plan" sheetId="2" state="visible" r:id="rId4"/>
    <sheet name="Data Inventory" sheetId="3" state="visible" r:id="rId5"/>
    <sheet name="Checklist Dosen" sheetId="4" state="visible" r:id="rId6"/>
    <sheet name="Struktur Makalah" sheetId="5" state="visible" r:id="rId7"/>
    <sheet name="Kandidat Referensi" sheetId="6" state="visible" r:id="rId8"/>
    <sheet name="Timelin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<sst xmlns="http://schemas.openxmlformats.org/spreadsheetml/2006/main" count="1068" uniqueCount="631">
  <si>
    <t xml:space="preserve">Menelusuri Jejak Daya Beli &amp; Pergeseran Ekonomi Jawa Timur 2005–2025</t>
  </si>
  <si>
    <t xml:space="preserve">Workbook perencanaan UAS Visualisasi Data dan Informasi 2026 (Politeknik Statistika STIS)</t>
  </si>
  <si>
    <t xml:space="preserve">NAMA DOKUMEN-NYA APA?</t>
  </si>
  <si>
    <t xml:space="preserve">Sheet 'Master Plan' = Master Storytelling &amp; Visualization Plan (sering disebut storyboard atau blueprint cerita). Sheet 'Data Inventory' = Data Inventory / Data Requirement Matrix (daftar kebutuhan data + log akses sumber).</t>
  </si>
  <si>
    <t xml:space="preserve">Cara pakai</t>
  </si>
  <si>
    <t xml:space="preserve">1) Baca 'Master Plan' untuk alur cerita. 2) Cari data di 'Data Inventory' dan isi kolom kuning (judul persis, URL, tahun, tanggal, JAM akses). 3) Centang 'Checklist Dosen'. 4) Ikuti 'Timeline'. 5) Susun makalah dengan 'Struktur Makalah' dan 'Kandidat Referensi'.</t>
  </si>
  <si>
    <t xml:space="preserve">Warna sel</t>
  </si>
  <si>
    <t xml:space="preserve">Kuning = diisi kamu. Kolom Status: Belum (merah) / Proses (kuning) / Selesai (hijau). Angka dalam [kurung siku] pada narasi = placeholder yang harus diganti angka nyata.</t>
  </si>
  <si>
    <t xml:space="preserve">PERHATIAN: periode judul</t>
  </si>
  <si>
    <t xml:space="preserve">Judulmu memakai 2005–2025. Itu masih dalam rentang '20–30 tahun terakhir' dosen. TAPI PDRB kab/kota seri tahun dasar 2010 dan IPM metode baru mulai 2010, jadi 2005–2009 hanya realistis untuk seri tingkat provinsi (D01). Analisis inti kab/kota sebaiknya 2010–2025. Jika D01 untuk 2005–2009 tidak ketemu, ubah judul menjadi '...2010–2025'. Jelaskan alasan ini di Metodologi.</t>
  </si>
  <si>
    <t xml:space="preserve">PERHATIAN: 'daya beli'</t>
  </si>
  <si>
    <t xml:space="preserve">BPS tidak menyediakan distribusi kelas menengah per kab/kota. 'Daya beli' dioperasionalkan lewat proxy (pengeluaran per kapita disesuaikan, kemiskinan, PDRB per kapita). Tulis ini sebagai keterbatasan, dan jangan klaim 'kelas menengah' secara literal.</t>
  </si>
  <si>
    <t xml:space="preserve">PERHATIAN: PCA</t>
  </si>
  <si>
    <t xml:space="preserve">Jangan memasukkan IPM bersama komponennya (RLS, HLS, UHH, pengeluaran per kapita) dalam satu PCA karena redundan. Pakai ≥8 variabel tanpa IPM; IPM menjadi label/warna.</t>
  </si>
  <si>
    <t xml:space="preserve">PERHATIAN: tahun terbaru</t>
  </si>
  <si>
    <t xml:space="preserve">Pastikan tahun terakhir (2025) sudah rilis untuk SEMUA variabel kab/kota. Jika belum, pakai 2024 untuk semuanya. Jangan mencampur tahun berbeda dalam satu analisis.</t>
  </si>
  <si>
    <t xml:space="preserve">Deklarasi AI (Soal 7)</t>
  </si>
  <si>
    <t xml:space="preserve">Jika kamu memakai alat bantu AI, tulis di bagian Metodologi: alat apa, untuk apa (misal: perencanaan, bantuan kode), dan bahwa kamu bertanggung jawab penuh atas isinya. Pastikan kamu paham semua kode dan angka karena bisa diminta mendemonstrasikan.</t>
  </si>
  <si>
    <t xml:space="preserve">PROGRES</t>
  </si>
  <si>
    <t xml:space="preserve">Data (Selesai / total)</t>
  </si>
  <si>
    <t xml:space="preserve">Bagian Master Plan (Selesai / total)</t>
  </si>
  <si>
    <t xml:space="preserve">Checklist Dosen (Selesai / total)</t>
  </si>
  <si>
    <t xml:space="preserve">Struktur Makalah (Selesai / total)</t>
  </si>
  <si>
    <t xml:space="preserve">Timeline (Selesai / total)</t>
  </si>
  <si>
    <t xml:space="preserve">Persen Checklist Dosen selesai</t>
  </si>
  <si>
    <t xml:space="preserve">MASTER STORYTELLING &amp; VISUALIZATION PLAN — Menelusuri Jejak Daya Beli &amp; Pergeseran Ekonomi Jawa Timur 2005–2025</t>
  </si>
  <si>
    <t xml:space="preserve">Blueprint alur cerita dari opening → data → visualisasi → insight → closing. Kolom kuning = diisi kamu (link prototipe/section). Angka dalam [kurung siku] di Narasi adalah placeholder: isi dari data BPS yang sudah kamu unduh. ID data (D01, D02, ...) merujuk ke sheet 'Data Inventory'.</t>
  </si>
  <si>
    <t xml:space="preserve">No</t>
  </si>
  <si>
    <t xml:space="preserve">Section</t>
  </si>
  <si>
    <t xml:space="preserve">Judul Bagian</t>
  </si>
  <si>
    <t xml:space="preserve">Prioritas</t>
  </si>
  <si>
    <t xml:space="preserve">Tujuan</t>
  </si>
  <si>
    <t xml:space="preserve">Visual / Chart</t>
  </si>
  <si>
    <t xml:space="preserve">Topik Lampiran A</t>
  </si>
  <si>
    <t xml:space="preserve">Data (ID)</t>
  </si>
  <si>
    <t xml:space="preserve">Interaksi</t>
  </si>
  <si>
    <t xml:space="preserve">Penjelasan Desain (encoding + alasan)</t>
  </si>
  <si>
    <t xml:space="preserve">Narasi (Hook → Insight → Transisi)</t>
  </si>
  <si>
    <t xml:space="preserve">Syarat dosen yang dipenuhi</t>
  </si>
  <si>
    <t xml:space="preserve">Link / posisi di web</t>
  </si>
  <si>
    <t xml:space="preserve">Status</t>
  </si>
  <si>
    <t xml:space="preserve">Opening</t>
  </si>
  <si>
    <t xml:space="preserve">Layar judul + 3 angka kunci</t>
  </si>
  <si>
    <t xml:space="preserve">Wajib</t>
  </si>
  <si>
    <t xml:space="preserve">Menarik perhatian dan memperkenalkan pertanyaan inti proyek.</t>
  </si>
  <si>
    <t xml:space="preserve">Judul besar, 3 KPI card (kemiskinan, pengeluaran per kapita, IPM Jatim: tahun awal vs terbaru).</t>
  </si>
  <si>
    <t xml:space="preserve">— (pengantar)</t>
  </si>
  <si>
    <t xml:space="preserve">D01, D02, D06</t>
  </si>
  <si>
    <t xml:space="preserve">Scroll untuk masuk ke cerita; tooltip singkat di KPI.</t>
  </si>
  <si>
    <t xml:space="preserve">Satu warna aksen, banyak ruang kosong, angka dibuat besar. Selalu sertakan satuan dan tahun di KPI. Jangan pakai grafik rumit di sini.</t>
  </si>
  <si>
    <t xml:space="preserve">HOOK: "Pada 2005, [X]% warga Jawa Timur hidup di bawah garis kemiskinan. Kini angkanya [Y]%. Tapi rata-rata provinsi bisa menyembunyikan cerita 38 kabupaten/kota. Apakah semuanya pulih bersama? Mari telusuri."</t>
  </si>
  <si>
    <t xml:space="preserve">4.a, 4.b (judul, satuan, sumber jelas); 'Sumber: BPS' tertulis.</t>
  </si>
  <si>
    <t xml:space="preserve">Belum</t>
  </si>
  <si>
    <t xml:space="preserve">Konteks</t>
  </si>
  <si>
    <t xml:space="preserve">Tiga fase: sebelum pandemi, guncangan, pemulihan</t>
  </si>
  <si>
    <t xml:space="preserve">Memberi garis waktu tingkat provinsi sebagai latar sebelum masuk ke level kab/kota.</t>
  </si>
  <si>
    <t xml:space="preserve">Small multiples line chart (kemiskinan %, pengeluaran per kapita, IPM) dengan blok bayangan COVID 2020–2021.</t>
  </si>
  <si>
    <t xml:space="preserve">Pengantar (tidak dihitung dari 3 topik)</t>
  </si>
  <si>
    <t xml:space="preserve">Tooltip nilai per tahun; hover sinkron antar panel.</t>
  </si>
  <si>
    <t xml:space="preserve">Posisi pada sumbu sejajar (paling akurat untuk dibandingkan). Small multiples dipilih alih-alih dual axis agar tidak menyesatkan. Bayangan abu-abu untuk periode COVID, satu warna garis per indikator.</t>
  </si>
  <si>
    <t xml:space="preserve">"Garis waktu memperlihatkan tiga babak: tren perbaikan hingga 2019, guncangan 2020–2021, dan pemulihan setelahnya. Namun pulih di level provinsi belum tentu pulih di level kabupaten/kota." → TRANSISI: "Mari kita lihat petanya."</t>
  </si>
  <si>
    <t xml:space="preserve">4.a (tooltip), 4.b (encoding dapat dijelaskan).</t>
  </si>
  <si>
    <t xml:space="preserve">Geospasial 1</t>
  </si>
  <si>
    <t xml:space="preserve">Peta daya beli: siapa yang tertinggal?</t>
  </si>
  <si>
    <t xml:space="preserve">Menunjukkan sebaran spasial kemiskinan/daya beli antar kab/kota Jatim.</t>
  </si>
  <si>
    <t xml:space="preserve">Choropleth 38 kab/kota: % penduduk miskin atau pengeluaran per kapita disesuaikan (RASIO, bukan angka absolut).</t>
  </si>
  <si>
    <t xml:space="preserve">Geospasial</t>
  </si>
  <si>
    <t xml:space="preserve">D03, D05, D20, D21</t>
  </si>
  <si>
    <t xml:space="preserve">Slider tahun, toggle indikator, tooltip, legenda, zoom/pan, kontrol layer.</t>
  </si>
  <si>
    <t xml:space="preserve">Palet sekuensial ramah buta warna (viridis atau ColorBrewer Blues/YlGnBu), 5 kelas. Tentukan metode klasifikasi (quantile atau natural breaks) dan TULIS alasannya, misal quantile agar tiap kelas terisi seimbang untuk 38 unit. Batas kab/kota tipis supaya terlihat rapi.</t>
  </si>
  <si>
    <t xml:space="preserve">"Pada [tahun], kemiskinan tertinggi mengelompok di [Madura/Tapal Kuda/...], sedangkan [Surabaya/Sidoarjo/...] relatif rendah. Geser slider untuk melihat apakah kesenjangan menyempit."</t>
  </si>
  <si>
    <t xml:space="preserve">Lamp. A Geospasial: choropleth rasio, klasifikasi dan palet dijustifikasi, tooltip, legenda, zoom/pan, kontrol layer, kunci kode wilayah BPS.</t>
  </si>
  <si>
    <t xml:space="preserve">Geospasial 2</t>
  </si>
  <si>
    <t xml:space="preserve">Persentase vs jumlah: di mana orang miskin paling banyak?</t>
  </si>
  <si>
    <t xml:space="preserve">Memperlihatkan bahwa angka absolut dan rasio bercerita berbeda; memenuhi syarat 2 jenis peta.</t>
  </si>
  <si>
    <t xml:space="preserve">Proportional symbol (lingkaran) jumlah penduduk miskin, bisa ditumpuk di atas choropleth.</t>
  </si>
  <si>
    <t xml:space="preserve">D04, D13, D20</t>
  </si>
  <si>
    <t xml:space="preserve">Toggle layer lingkaran; tooltip jumlah dan persentase.</t>
  </si>
  <si>
    <t xml:space="preserve">Ukuran lingkaran = angka absolut (luas, bukan jari-jari, sebanding nilai). Warna lingkaran netral supaya tidak bersaing dengan choropleth. Legenda ukuran wajib.</t>
  </si>
  <si>
    <t xml:space="preserve">"Persentase tertinggi belum tentu jumlah tertinggi. [Kab/kota X] persentasenya sedang, tetapi jumlah penduduk miskinnya terbesar karena penduduknya padat."</t>
  </si>
  <si>
    <t xml:space="preserve">Lamp. A Geospasial: minimal 2 jenis peta berbeda.</t>
  </si>
  <si>
    <t xml:space="preserve">Hierarki 1</t>
  </si>
  <si>
    <t xml:space="preserve">Dari mana ekonomi Jatim bertumpu?</t>
  </si>
  <si>
    <t xml:space="preserve">Menunjukkan struktur PDRB berjenjang: Jatim → sektor → lapangan usaha → kab/kota.</t>
  </si>
  <si>
    <t xml:space="preserve">Treemap 4 level (ukuran = nilai PDRB ADHB; warna = laju pertumbuhan atau perubahan share dibanding 2019).</t>
  </si>
  <si>
    <t xml:space="preserve">Hierarki</t>
  </si>
  <si>
    <t xml:space="preserve">D16, D17, D22</t>
  </si>
  <si>
    <t xml:space="preserve">Klik untuk drill-down, breadcrumb, filter tahun, tooltip.</t>
  </si>
  <si>
    <t xml:space="preserve">Ukuran dan warna mewakili DUA variabel berbeda (syarat dosen). Warna divergen ramah buta warna (misal PuOr/RdBu dengan titik tengah 0) untuk perubahan. Breadcrumb di atas grafik: Jawa Timur &gt; Sekunder &gt; Industri Pengolahan &gt; ...</t>
  </si>
  <si>
    <t xml:space="preserve">"Industri pengolahan, perdagangan, dan pertanian masih menjadi tulang punggung. Klik sektor untuk melihat kab/kota mana yang menopangnya."</t>
  </si>
  <si>
    <t xml:space="preserve">Lamp. A Hierarki: ≥3 level, ukuran+warna dua variabel, drill-down + breadcrumb.</t>
  </si>
  <si>
    <t xml:space="preserve">Hierarki 2</t>
  </si>
  <si>
    <t xml:space="preserve">Representasi kedua: sunburst dan pergeseran share</t>
  </si>
  <si>
    <t xml:space="preserve">Memenuhi syarat 2 representasi berbeda dan melihat pergeseran struktur 2010/2019 vs terbaru.</t>
  </si>
  <si>
    <t xml:space="preserve">Sunburst (struktur sama dengan treemap) + panel perbandingan share sektor tahun awal vs terbaru.</t>
  </si>
  <si>
    <t xml:space="preserve">Klik cincin untuk zoom, breadcrumb, pilih tahun.</t>
  </si>
  <si>
    <t xml:space="preserve">Pakai skema warna yang konsisten dengan treemap (sektor primer/sekunder/tersier = 3 warna kategorikal Okabe-Ito). Tampilkan alasan memilih sunburst: bagus untuk proporsi bagian-terhadap-keseluruhan, treemap bagus untuk membandingkan ukuran.</t>
  </si>
  <si>
    <t xml:space="preserve">"Dalam [N] tahun, porsi sektor [tersier] naik dari [a]% ke [b]%, sementara [primer] turun. Pergeseran ini tidak merata antar daerah."</t>
  </si>
  <si>
    <t xml:space="preserve">Lamp. A Hierarki: 2 representasi berbeda.</t>
  </si>
  <si>
    <t xml:space="preserve">Multivariat 1</t>
  </si>
  <si>
    <t xml:space="preserve">Profil sosial-ekonomi 38 kab/kota dalam satu bidang</t>
  </si>
  <si>
    <t xml:space="preserve">Meringkas ≥8 variabel menjadi 2 dimensi dan menemukan kelompok serta pencilan.</t>
  </si>
  <si>
    <t xml:space="preserve">Scatter PCA (PC1 vs PC2), warna = klaster, tampilkan loading/biplot sederhana + scree plot kecil.</t>
  </si>
  <si>
    <t xml:space="preserve">Multivariat</t>
  </si>
  <si>
    <t xml:space="preserve">D03, D05, D07–D14</t>
  </si>
  <si>
    <t xml:space="preserve">Hover tooltip, klik titik untuk highlight di peta, brushing area.</t>
  </si>
  <si>
    <t xml:space="preserve">Posisi = skor PC. Warna klaster pakai palet kategorikal Okabe-Ito (maks 4–5 klaster). Variabel distandardisasi (z-score) sebelum PCA. Jangan masukkan IPM bersama komponennya (RLS, HLS, UHH, pengeluaran) karena redundan; pakai IPM sebagai label/warna saja.</t>
  </si>
  <si>
    <t xml:space="preserve">"Dua komponen utama menjelaskan [xx]% variasi. PC1 membedakan daerah [maju/urban] dari [tertinggal], PC2 menangkap [struktur ekonomi/dll]."</t>
  </si>
  <si>
    <t xml:space="preserve">Lamp. A Multivariat: 1 teknik reduksi dimensi (PCA), ≥8 variabel numerik, ≥34 unit (38 kab/kota).</t>
  </si>
  <si>
    <t xml:space="preserve">Multivariat 2</t>
  </si>
  <si>
    <t xml:space="preserve">Parallel coordinates dan heatmap terklaster</t>
  </si>
  <si>
    <t xml:space="preserve">Memenuhi syarat ≥2 teknik tambahan, brushing, dan linking antar tampilan.</t>
  </si>
  <si>
    <t xml:space="preserve">Parallel coordinates (semua variabel) + heatmap terklaster (kab/kota × variabel, urut hasil klaster hierarkis).</t>
  </si>
  <si>
    <t xml:space="preserve">Brushing di parallel coordinates ⇄ highlight di PCA, heatmap, dan peta (linking).</t>
  </si>
  <si>
    <t xml:space="preserve">Heatmap: palet sekuensial/divergen tunggal, variabel distandardisasi. Parallel coordinates: garis tipis semi-transparan, warna sama dengan klaster di PCA agar konsisten.</t>
  </si>
  <si>
    <t xml:space="preserve">"Pilih rentang pada sumbu kemiskinan untuk melihat profil daerah terpilih di semua tampilan sekaligus."</t>
  </si>
  <si>
    <t xml:space="preserve">Lamp. A Multivariat: ≥2 teknik tambahan, brushing dan linking.</t>
  </si>
  <si>
    <t xml:space="preserve">Insight</t>
  </si>
  <si>
    <t xml:space="preserve">Kelompok kab/kota dan pencilan</t>
  </si>
  <si>
    <t xml:space="preserve">Menerjemahkan hasil klaster menjadi cerita yang bisa dipahami awam.</t>
  </si>
  <si>
    <t xml:space="preserve">Kartu klaster (nama klaster, ciri khas, contoh daerah) + penanda pencilan di PCA.</t>
  </si>
  <si>
    <t xml:space="preserve">Multivariat + Geospasial</t>
  </si>
  <si>
    <t xml:space="preserve">Turunan dari D03–D14</t>
  </si>
  <si>
    <t xml:space="preserve">Klik kartu untuk highlight anggota klaster di peta.</t>
  </si>
  <si>
    <t xml:space="preserve">Beri nama klaster yang bermakna (misal 'Pusat urban-industri', 'Agraris rentan'). Peta mini berwarna klaster menghubungkan hasil multivariat dengan lokasi.</t>
  </si>
  <si>
    <t xml:space="preserve">"Kab/kota terbagi menjadi [k] kelompok. Pencilan: [Kota Surabaya/...] karena [alasan]. Daerah di klaster [X] paling rentan karena [kombinasi kemiskinan tinggi + pengeluaran rendah]."</t>
  </si>
  <si>
    <t xml:space="preserve">Lamp. A Multivariat: interpretasi kelompok dan pencilan.</t>
  </si>
  <si>
    <t xml:space="preserve">Sebelum vs sesudah COVID: siapa yang pulih?</t>
  </si>
  <si>
    <t xml:space="preserve">Opsional (kerjakan jika waktu ada)</t>
  </si>
  <si>
    <t xml:space="preserve">Memperkuat narasi 'pulih tapi tidak merata' dengan membandingkan 2019 vs 2021 vs tahun terbaru.</t>
  </si>
  <si>
    <t xml:space="preserve">Dumbbell/slope chart perubahan indikator per kab/kota.</t>
  </si>
  <si>
    <t xml:space="preserve">Geospasial / Multivariat (pendukung)</t>
  </si>
  <si>
    <t xml:space="preserve">D03, D05</t>
  </si>
  <si>
    <t xml:space="preserve">Filter indikator, sort, highlight daerah.</t>
  </si>
  <si>
    <t xml:space="preserve">Titik 2019 (abu-abu) dan titik terbaru (warna aksen), garis penghubung. Urut berdasarkan besar perubahan.</t>
  </si>
  <si>
    <t xml:space="preserve">"Dari 38 kab/kota, [n] daerah sudah melampaui kondisi 2019, sementara [m] daerah masih tertinggal."</t>
  </si>
  <si>
    <t xml:space="preserve">Nilai tambah storytelling (rubrik Insight dan Kreativitas).</t>
  </si>
  <si>
    <t xml:space="preserve">Closing</t>
  </si>
  <si>
    <t xml:space="preserve">Kesimpulan, keterbatasan, dan sumber</t>
  </si>
  <si>
    <t xml:space="preserve">Merangkum 3 temuan utama, mengakui keterbatasan, dan memberi transparansi data.</t>
  </si>
  <si>
    <t xml:space="preserve">Teks ringkas + 3 poin temuan, tabel sumber data, tautan repositori.</t>
  </si>
  <si>
    <t xml:space="preserve">—</t>
  </si>
  <si>
    <t xml:space="preserve">Seluruh D-ID</t>
  </si>
  <si>
    <t xml:space="preserve">Tautan ke repo, tombol kembali ke atas.</t>
  </si>
  <si>
    <t xml:space="preserve">Gaya tenang dan jelas. Cantumkan: judul tabel BPS, tahun data, URL, tanggal akses, 'Sumber: BPS', deklarasi alat bantu AI, dan keterbatasan (misal proxy kerentanan, data kab/kota tahunan, 38 unit).</t>
  </si>
  <si>
    <t xml:space="preserve">"Pulih tidak berarti merata. [Temuan 1], [temuan 2], [temuan 3]. Keterbatasan: [..]. Data: BPS (lihat tabel sumber)."</t>
  </si>
  <si>
    <t xml:space="preserve">Soal 2.b (sumber), Soal 3 (repo+README), Soal 7 (deklarasi AI).</t>
  </si>
  <si>
    <t xml:space="preserve">DATA INVENTORY / DATA REQUIREMENT MATRIX</t>
  </si>
  <si>
    <t xml:space="preserve">Setiap data yang harus dicari. Kolom kuning diisi saat kamu mengunduh: salin JUDUL TABEL PERSIS dari BPS, URL halaman tabel, tahun data, tanggal dan JAM akses. Kolom 'Sitasi IEEE' terisi otomatis setelah judul, URL, tahun, dan tanggal akses diisi. Baris abu-abu 'CONTOH' hanya ilustrasi format, jangan dihitung.</t>
  </si>
  <si>
    <t xml:space="preserve">ID</t>
  </si>
  <si>
    <t xml:space="preserve">Kelompok</t>
  </si>
  <si>
    <t xml:space="preserve">Data / Variabel</t>
  </si>
  <si>
    <t xml:space="preserve">Dipakai di (No. Plan)</t>
  </si>
  <si>
    <t xml:space="preserve">Tingkat / Unit</t>
  </si>
  <si>
    <t xml:space="preserve">Periode target</t>
  </si>
  <si>
    <t xml:space="preserve">Satuan</t>
  </si>
  <si>
    <t xml:space="preserve">Kata kunci pencarian di bps.go.id / jatim.bps.go.id</t>
  </si>
  <si>
    <t xml:space="preserve">Judul tabel/publikasi PERSIS (salin dari BPS)</t>
  </si>
  <si>
    <t xml:space="preserve">Sumber</t>
  </si>
  <si>
    <t xml:space="preserve">URL halaman tabel</t>
  </si>
  <si>
    <t xml:space="preserve">Tahun data</t>
  </si>
  <si>
    <t xml:space="preserve">Tanggal akses</t>
  </si>
  <si>
    <t xml:space="preserve">Jam akses (WIB)</t>
  </si>
  <si>
    <t xml:space="preserve">Format unduhan</t>
  </si>
  <si>
    <t xml:space="preserve">Nama file mentah (data/raw/)</t>
  </si>
  <si>
    <t xml:space="preserve">Pra-pemrosesan yang diperlukan</t>
  </si>
  <si>
    <t xml:space="preserve">Kunci join</t>
  </si>
  <si>
    <t xml:space="preserve">Sitasi IEEE (otomatis)</t>
  </si>
  <si>
    <t xml:space="preserve">Catatan / risiko</t>
  </si>
  <si>
    <t xml:space="preserve">CONTOH</t>
  </si>
  <si>
    <t xml:space="preserve">Persentase Penduduk Miskin menurut Kab/Kota</t>
  </si>
  <si>
    <t xml:space="preserve">3</t>
  </si>
  <si>
    <t xml:space="preserve">Kab/Kota Jatim (38)</t>
  </si>
  <si>
    <t xml:space="preserve">2010–2025</t>
  </si>
  <si>
    <t xml:space="preserve">%</t>
  </si>
  <si>
    <t xml:space="preserve">persentase penduduk miskin kabupaten/kota jawa timur</t>
  </si>
  <si>
    <t xml:space="preserve">[Judul persis dari halaman tabel BPS]</t>
  </si>
  <si>
    <t xml:space="preserve">BPS Jatim</t>
  </si>
  <si>
    <t xml:space="preserve">https://jatim.bps.go.id/...</t>
  </si>
  <si>
    <t xml:space="preserve">2024</t>
  </si>
  <si>
    <t xml:space="preserve">3 Okt 2026</t>
  </si>
  <si>
    <t xml:space="preserve">20:15</t>
  </si>
  <si>
    <t xml:space="preserve">xlsx</t>
  </si>
  <si>
    <t xml:space="preserve">d03_kemiskinan_kabkota.xlsx</t>
  </si>
  <si>
    <t xml:space="preserve">(lihat baris data)</t>
  </si>
  <si>
    <t xml:space="preserve">kode_wilayah</t>
  </si>
  <si>
    <t xml:space="preserve">(contoh: otomatis)</t>
  </si>
  <si>
    <t xml:space="preserve">Baris contoh, abaikan.</t>
  </si>
  <si>
    <t xml:space="preserve">D01</t>
  </si>
  <si>
    <t xml:space="preserve">Konteks provinsi</t>
  </si>
  <si>
    <t xml:space="preserve">Persentase penduduk miskin Jawa Timur (seri panjang)</t>
  </si>
  <si>
    <t xml:space="preserve">1, 2</t>
  </si>
  <si>
    <t xml:space="preserve">Provinsi Jatim</t>
  </si>
  <si>
    <t xml:space="preserve">persentase penduduk miskin provinsi jawa timur menurut tahun</t>
  </si>
  <si>
    <t xml:space="preserve">Persentase Penduduk Miskin (P0) Menurut Kabupaten/Kota Jawa Timur (Persen) </t>
  </si>
  <si>
    <t xml:space="preserve">BPS Jatim / BPS pusat</t>
  </si>
  <si>
    <t xml:space="preserve">https://www.bps.go.id/id/statistics-table/2/NjIxIzI=/persentase-penduduk-miskin-menurut-kabupaten-kota.html</t>
  </si>
  <si>
    <t xml:space="preserve">2010-2025</t>
  </si>
  <si>
    <t xml:space="preserve">2 okt 2026</t>
  </si>
  <si>
    <t xml:space="preserve">xlsx/csv</t>
  </si>
  <si>
    <t xml:space="preserve">d01_miskin_jatim_seri.xlsx</t>
  </si>
  <si>
    <t xml:space="preserve">Pilih satu periode survei konsisten (mis. Maret) untuk semua tahun.</t>
  </si>
  <si>
    <t xml:space="preserve">tahun</t>
  </si>
  <si>
    <t xml:space="preserve">Selesai</t>
  </si>
  <si>
    <t xml:space="preserve">SATU-SATUNYA data yang mungkin menjangkau 2005. Jika seri 2005–2009 tidak ditemukan, ubah judul menjadi 2010–2025. | [Audit 3 Okt] Sumber 2005–2009 belum terdokumentasi: URL hanya mencakup 2010+. Di data processed diberi flag perlu_verifikasi.</t>
  </si>
  <si>
    <t xml:space="preserve">D02</t>
  </si>
  <si>
    <t xml:space="preserve">Pengeluaran per kapita disesuaikan Jatim (seri)</t>
  </si>
  <si>
    <t xml:space="preserve">Provinsi Jatim (baris JAWA TIMUR pada tabel D05)</t>
  </si>
  <si>
    <t xml:space="preserve">ribu Rp/tahun</t>
  </si>
  <si>
    <t xml:space="preserve">pengeluaran per kapita disesuaikan jawa timur</t>
  </si>
  <si>
    <t xml:space="preserve">[Metode Baru] Pengeluaran per Kapita Disesuaikan (Ribu Rupiah/Orang/Tahun)</t>
  </si>
  <si>
    <t xml:space="preserve">https://www.bps.go.id/id/statistics-table/2/NDE2IzI=/-metode-baru--pengeluaran-per-kapita-disesuaikan.html</t>
  </si>
  <si>
    <t xml:space="preserve">d02_ppk_jatim_seri.xlsx</t>
  </si>
  <si>
    <t xml:space="preserve">Pastikan harga konstan (tahun dasar sama).</t>
  </si>
  <si>
    <t xml:space="preserve">Komponen IPM; metode baru sejak 2010. | [Audit 3 Okt] Sheet D02 di UAS_VISDAT.xlsx ternyata tabel kab/kota (duplikat D05, beda 1 sel: Kota Batu 2021). Pipeline memakai D05.</t>
  </si>
  <si>
    <t xml:space="preserve">D03</t>
  </si>
  <si>
    <t xml:space="preserve">Persentase penduduk miskin kab/kota</t>
  </si>
  <si>
    <t xml:space="preserve">3, 7, 8, 10</t>
  </si>
  <si>
    <t xml:space="preserve">persentase penduduk miskin menurut kabupaten/kota jawa timur</t>
  </si>
  <si>
    <t xml:space="preserve">Persentase Penduduk Miskin (P0) Menurut Kabupaten/Kota (Persen)</t>
  </si>
  <si>
    <t xml:space="preserve">d03_miskin_kabkota.xlsx</t>
  </si>
  <si>
    <t xml:space="preserve">Format long: kode_wilayah, nama, tahun, nilai. Ubah koma→titik, buang catatan kaki, cek tipe numerik, standarisasi nama 'Kab.'/'Kota'.</t>
  </si>
  <si>
    <t xml:space="preserve">Tahun terbaru harus SAMA untuk semua variabel PCA. Cek ketersediaan 2025.</t>
  </si>
  <si>
    <t xml:space="preserve">D04</t>
  </si>
  <si>
    <t xml:space="preserve">Jumlah penduduk miskin kab/kota</t>
  </si>
  <si>
    <t xml:space="preserve">4</t>
  </si>
  <si>
    <t xml:space="preserve">ribu jiwa</t>
  </si>
  <si>
    <t xml:space="preserve">jumlah penduduk miskin kabupaten/kota jawa timur</t>
  </si>
  <si>
    <t xml:space="preserve">Jumlah Penduduk Miskin menurut Kabupaten/Kota di Jawa Timur (Ribu Jiwa)</t>
  </si>
  <si>
    <t xml:space="preserve">https://jatim.bps.go.id/id/statistics-table/2/NDIxIzI=/jumlah-penduduk-miskin-menurut-kabupaten-kota-di-jawa-timur.html</t>
  </si>
  <si>
    <t xml:space="preserve">d04_jml_miskin_kabkota.xlsx</t>
  </si>
  <si>
    <t xml:space="preserve">Untuk proportional symbol (angka absolut).</t>
  </si>
  <si>
    <t xml:space="preserve">D05</t>
  </si>
  <si>
    <t xml:space="preserve">Pengeluaran per kapita disesuaikan kab/kota</t>
  </si>
  <si>
    <t xml:space="preserve">3, 7, 8</t>
  </si>
  <si>
    <t xml:space="preserve">pengeluaran per kapita disesuaikan kabupaten/kota jawa timur</t>
  </si>
  <si>
    <t xml:space="preserve">d05_ppk_kabkota.xlsx</t>
  </si>
  <si>
    <t xml:space="preserve">Proxy 'daya beli' di level kab/kota. Jangan klaim 'kelas menengah' secara literal. | [Audit 3 Okt] Di Excel pemisah ribuan hilang (6.775 = 6.775 ribu); dikonversi x1000 di pipeline. Kota Batu 2021 = 12.887 (perlu cek).</t>
  </si>
  <si>
    <t xml:space="preserve">D06</t>
  </si>
  <si>
    <t xml:space="preserve">Indeks Pembangunan Manusia (IPM) kab/kota</t>
  </si>
  <si>
    <t xml:space="preserve">1, 2, 7</t>
  </si>
  <si>
    <t xml:space="preserve">indeks</t>
  </si>
  <si>
    <t xml:space="preserve">IPM kabupaten/kota jawa timur </t>
  </si>
  <si>
    <t xml:space="preserve">Indeks Pembangunan Manusia Menurut Kabupaten/Kota di Provinsi Jawa Timur</t>
  </si>
  <si>
    <t xml:space="preserve">https://probolinggokab.bps.go.id/id/statistics-table/2/MjczIzI=/indeks-pembangunan-manusia-menurut-kabupaten-kota-di-provinsi-jawa-timur.html</t>
  </si>
  <si>
    <t xml:space="preserve">d06_ipm_kabkota.xlsx</t>
  </si>
  <si>
    <t xml:space="preserve">Pakai sebagai label/warna, jangan bersama komponennya dalam PCA. | [Audit 3 Okt] Patahan metodologis 2019→2020 (UHH LF SP2020 diterapkan mundur ke 2020). Beri anotasi pada grafik tren.</t>
  </si>
  <si>
    <t xml:space="preserve">D07</t>
  </si>
  <si>
    <t xml:space="preserve">Rata-rata lama sekolah kab/kota</t>
  </si>
  <si>
    <t xml:space="preserve">7, 8</t>
  </si>
  <si>
    <t xml:space="preserve">rata-rata lama sekolah kabupaten/kota jawa timur</t>
  </si>
  <si>
    <t xml:space="preserve">Rata-Rata Lama Sekolah Penduduk Menurut Kabupaten/Kota (Tahun)</t>
  </si>
  <si>
    <t xml:space="preserve">https://jatim.bps.go.id/id/statistics-table/2/MzIjMg==/rata-rata-lama-sekolah-penduduk-usia-25-tahun-ke-atas-menurut-kabupaten-kota.html</t>
  </si>
  <si>
    <t xml:space="preserve">d07_rls_kabkota.xlsx</t>
  </si>
  <si>
    <t xml:space="preserve">D08</t>
  </si>
  <si>
    <t xml:space="preserve">Harapan lama sekolah kab/kota</t>
  </si>
  <si>
    <t xml:space="preserve">harapan lama sekolah kabupaten/kota jawa timur</t>
  </si>
  <si>
    <t xml:space="preserve">Harapan Lama Sekolah (Tahun)</t>
  </si>
  <si>
    <t xml:space="preserve">https://jatim.bps.go.id/id/statistics-table/2/NDY4IzI=/harapan-lama-sekolah.html</t>
  </si>
  <si>
    <t xml:space="preserve">d08_hls_kabkota.xlsx</t>
  </si>
  <si>
    <t xml:space="preserve">D09</t>
  </si>
  <si>
    <t xml:space="preserve">Umur harapan hidup kab/kota</t>
  </si>
  <si>
    <t xml:space="preserve">umur harapan hidup kabupaten/kota jawa timur</t>
  </si>
  <si>
    <t xml:space="preserve">Angka Harapan Hidup Menurut Kabupaten/Kota di Provinsi Jawa Timur (Tahun)</t>
  </si>
  <si>
    <t xml:space="preserve">https://ngawikab.bps.go.id/id/statistics-table/2/NDcxIzI=/life-expectancy-by-regencies-municipalities-in-jawa-timur-province.html</t>
  </si>
  <si>
    <t xml:space="preserve">d09_uhh_kabkota.xlsx</t>
  </si>
  <si>
    <t xml:space="preserve">[Audit 3 Okt] 2010–2019 dari tabel ini; 2020–2025 dari tabel 'Umur Harapan Hidup Hasil Long Form SP2020 Menurut Kabupaten/Kota' (data/raw/uhh_lf_sp2020_2020_2025.csv). URL &amp; tanggal akses tabel LF SP2020 BELUM DIISI.</t>
  </si>
  <si>
    <t xml:space="preserve">D10</t>
  </si>
  <si>
    <t xml:space="preserve">Tingkat pengangguran terbuka (TPT) kab/kota</t>
  </si>
  <si>
    <t xml:space="preserve">tingkat pengangguran terbuka kabupaten/kota jawa timur</t>
  </si>
  <si>
    <t xml:space="preserve">Tingkat Pengangguran Terbuka (TPT) Menurut Kabupaten/Kota (Persen)</t>
  </si>
  <si>
    <t xml:space="preserve">https://jatim.bps.go.id/id/statistics-table/2/NTQjMg==/tingkat-pengangguran-terbuka-tpt-provinsi-jawa-timur.html</t>
  </si>
  <si>
    <t xml:space="preserve">d10_tpt_kabkota.xlsx</t>
  </si>
  <si>
    <t xml:space="preserve">Cek: sumber Sakernas, kadang tahun awal tidak lengkap per kab/kota.</t>
  </si>
  <si>
    <t xml:space="preserve">D11</t>
  </si>
  <si>
    <t xml:space="preserve">PDRB per kapita ADHB kab/kota</t>
  </si>
  <si>
    <t xml:space="preserve">ribu Rp</t>
  </si>
  <si>
    <t xml:space="preserve">PDRB per kapita atas dasar harga berlaku kabupaten/kota jawa timur</t>
  </si>
  <si>
    <t xml:space="preserve">[Seri 2010] PDRB Perkapita Atas Dasar Harga Berlaku Menurut Kabupaten/Kota (Ribu Rupiah)</t>
  </si>
  <si>
    <t xml:space="preserve">https://jatim.bps.go.id/id/statistics-table/2/MzI3IzI=/pdrb-perkapita-adhb.html</t>
  </si>
  <si>
    <t xml:space="preserve">d11_pdrb_kapita_kabkota.xlsx</t>
  </si>
  <si>
    <t xml:space="preserve">Variabel urban/industri: nilai Surabaya, Gresik, Kediri (rokok) bisa jadi pencilan.</t>
  </si>
  <si>
    <t xml:space="preserve">D12</t>
  </si>
  <si>
    <t xml:space="preserve">Laju pertumbuhan PDRB ADHK kab/kota</t>
  </si>
  <si>
    <t xml:space="preserve">5, 7, 8</t>
  </si>
  <si>
    <t xml:space="preserve">2011–2025</t>
  </si>
  <si>
    <t xml:space="preserve">laju pertumbuhan PDRB atas dasar harga konstan 2010 kabupaten/kota jawa timur</t>
  </si>
  <si>
    <t xml:space="preserve">Laju Pertumbuhan Produk Domestik Regional Bruto Atas Dasar Harga Konstan 2010  Menurut Kabupaten/Kota di Provinsi Jawa Timur (persen)</t>
  </si>
  <si>
    <t xml:space="preserve">https://jatim.bps.go.id/id/statistics-table/3/WnpCcmNtcE1ibkF5VjFSelJHMUVhRE52WjNWSVp6MDkjMw==/laju-pertumbuhan-produk-domestik-regional-bruto-atas-dasar-harga-konstan-2010-menurut-kabupaten-kota-di-provinsi-jawa-timur--persen---2023.html</t>
  </si>
  <si>
    <t xml:space="preserve">2011-2025</t>
  </si>
  <si>
    <t xml:space="preserve">d12_growth_kabkota.xlsx</t>
  </si>
  <si>
    <t xml:space="preserve">Tahun 2020 umumnya negatif (efek COVID), pastikan jangan dibuang sebagai 'error'.</t>
  </si>
  <si>
    <t xml:space="preserve">D13</t>
  </si>
  <si>
    <t xml:space="preserve">Jumlah penduduk kab/kota</t>
  </si>
  <si>
    <t xml:space="preserve">4, 7</t>
  </si>
  <si>
    <t xml:space="preserve">jiwa</t>
  </si>
  <si>
    <t xml:space="preserve">jumlah penduduk menurut kabupaten/kota jawa timur proyeksi</t>
  </si>
  <si>
    <t xml:space="preserve">Jumlah Penduduk Menurut Jenis Kelamin dan Kabupaten/Kota Provinsi Jawa Timur (Jiwa)</t>
  </si>
  <si>
    <t xml:space="preserve">https://mojokertokota.bps.go.id/id/statistics-table/2/MTQ0IzI=/jumlah-penduduk-menurut-jenis-kelamin-dan-kabupaten-kota-provinsi-jawa-timur.html</t>
  </si>
  <si>
    <t xml:space="preserve">3 okt 2026</t>
  </si>
  <si>
    <t xml:space="preserve">d13_penduduk_kabkota.xlsx</t>
  </si>
  <si>
    <t xml:space="preserve">Beda sumber (Sensus vs proyeksi): catat, jangan campur. | [Audit 3 Okt] Patahan seri 2020 dan 2024. Gresik 2015 dikoreksi 1.167.313 → 1.256.313 (config/corrections.csv C01).</t>
  </si>
  <si>
    <t xml:space="preserve">D14</t>
  </si>
  <si>
    <t xml:space="preserve">Kepadatan penduduk kab/kota (atau luas wilayah)</t>
  </si>
  <si>
    <t xml:space="preserve">jiwa/km²</t>
  </si>
  <si>
    <t xml:space="preserve">kepadatan penduduk kabupaten/kota jawa timur</t>
  </si>
  <si>
    <t xml:space="preserve">Penduduk, Laju Pertumbuhan Penduduk, Distribusi Persentase
Penduduk, Kepadatan Penduduk, Rasio Jenis Kelamin Penduduk
Menurut Kabupaten/Kota di Provinsi Jawa Timur</t>
  </si>
  <si>
    <t xml:space="preserve">https://jatim.bps.go.id/id/publication/2025/02/28/5ae8b994b1bebd8cbc2e0781/provinsi-jawa-timur-dalam-angka-2025.html</t>
  </si>
  <si>
    <t xml:space="preserve">d14_kepadatan_kabkota.xlsx</t>
  </si>
  <si>
    <t xml:space="preserve">Jika hanya luas wilayah ada: kepadatan = penduduk ÷ luas.</t>
  </si>
  <si>
    <t xml:space="preserve">[Audit 3 Okt] Luas acuan berganti antar tahun; hanya 2022–2025 konsisten. 2010–2021 diberi flag luas_acuan_berbeda. Publikasi JDA 2025 tidak mungkin memuat data 2025: cek sumber.</t>
  </si>
  <si>
    <t xml:space="preserve">D15</t>
  </si>
  <si>
    <t xml:space="preserve">Multivariat (opsional)</t>
  </si>
  <si>
    <t xml:space="preserve">Gini Rasio Menurut Kabupaten/Kota di Jawa Timur</t>
  </si>
  <si>
    <t xml:space="preserve">gini ratio / indeks kedalaman kemiskinan kabupaten/kota jawa timur</t>
  </si>
  <si>
    <t xml:space="preserve">https://malangkota.bps.go.id/id/statistics-table/2/NjUjMg==/gini-rasio-menurut-kabupaten-kota-di-jawa-timur.html</t>
  </si>
  <si>
    <t xml:space="preserve">d15_gini_p1_kabkota.xlsx</t>
  </si>
  <si>
    <t xml:space="preserve">Gini kab/kota belum tentu tersedia; ganti P1/P2 jika tidak ada.</t>
  </si>
  <si>
    <t xml:space="preserve">D16</t>
  </si>
  <si>
    <t xml:space="preserve">PDRB ADHB lapangan usaha (17 kategori) per kab/kota</t>
  </si>
  <si>
    <t xml:space="preserve">5, 6</t>
  </si>
  <si>
    <t xml:space="preserve">Kab/Kota × 17 LU</t>
  </si>
  <si>
    <t xml:space="preserve">2020–2024</t>
  </si>
  <si>
    <t xml:space="preserve">miliar/juta Rp</t>
  </si>
  <si>
    <t xml:space="preserve">PDRB kabupaten/kota jawa timur menurut lapangan usaha ADHB</t>
  </si>
  <si>
    <t xml:space="preserve">Produk Domestik Regional Bruto Kabupaten/Kota di Provinsi Jawa Timur Menurut Lapangan Usaha 2020–2024</t>
  </si>
  <si>
    <t xml:space="preserve">BPS Jatim (publikasi 'PDRB Kabupaten/Kota di Jawa Timur')</t>
  </si>
  <si>
    <t xml:space="preserve">https://jatim.bps.go.id/id/publication/2025/04/11/59f89f59ea26afed7ff1c599/produk-domestik-regional-bruto-kabupaten-kota-di-provinsi-jawa-timur-menurut-lapangan-usaha-2020-2024.html</t>
  </si>
  <si>
    <t xml:space="preserve">2020-2024</t>
  </si>
  <si>
    <t xml:space="preserve">pdf</t>
  </si>
  <si>
    <t xml:space="preserve">pdrb_kabkota_jatim_lu_2020_2024.pdf</t>
  </si>
  <si>
    <t xml:space="preserve">Diekstrak dari PDF (src/00_extract_pdrb_pdf.py, src/03_pdrb.py) → data/processed/pdrb_lu_long.csv</t>
  </si>
  <si>
    <t xml:space="preserve">kode_wilayah, kode_LU</t>
  </si>
  <si>
    <t xml:space="preserve">KRITIS: data hierarki utama. Jika tidak tersedia, fallback ke hierarki wilayah (Provinsi→Karesidenan→Kab/Kota→Kecamatan). | [Audit 3 Okt] Data diambil dari PDF publikasi, bukan xlsx. ADHB Kota Batu di publikasi bergeser 1 kolom → direkonstruksi ADHK×indeks implisit/100. Total Kab. Kediri di lampiran salah cetak. 2023 sementara, 2024 sangat sementara. Baseline 2019 tidak tersedia → pembanding 2020 vs 2024.</t>
  </si>
  <si>
    <t xml:space="preserve">D17</t>
  </si>
  <si>
    <t xml:space="preserve">PDRB ADHK 2010 lapangan usaha per kab/kota</t>
  </si>
  <si>
    <t xml:space="preserve">PDRB kabupaten/kota jawa timur menurut lapangan usaha ADHK 2010</t>
  </si>
  <si>
    <t xml:space="preserve">Cek apakah BPS sudah ganti tahun dasar; jangan campur dua tahun dasar. | [Audit 3 Okt] Di xlsx: 6 blok salah label (Bojonegoro, Magetan, Ngawi, Pamekasan, Bangkalan, Sampang) dan Kota Malang salinan ADHB; kini diganti nilai PDF.</t>
  </si>
  <si>
    <t xml:space="preserve">D18</t>
  </si>
  <si>
    <t xml:space="preserve">Konteks (opsional)</t>
  </si>
  <si>
    <t xml:space="preserve">Pengeluaran rumah tangga: makanan vs non-makanan Jatim</t>
  </si>
  <si>
    <t xml:space="preserve">2</t>
  </si>
  <si>
    <t xml:space="preserve">Kab/Kota Jatim (38) + provinsi</t>
  </si>
  <si>
    <t xml:space="preserve">2020–2025</t>
  </si>
  <si>
    <t xml:space="preserve">% / Rp</t>
  </si>
  <si>
    <t xml:space="preserve">pengeluaran rata-rata per kapita sebulan makanan nonmakanan jawa timur</t>
  </si>
  <si>
    <t xml:space="preserve">Rata-rata Pengeluaran per Kapita Sebulan Makanan dan Bukan Makanan di Daerah Perkotaan dan Perdesaan Menurut Kabupaten/Kota di Provinsi Jawa Timur (rupiah)</t>
  </si>
  <si>
    <t xml:space="preserve">https://jatim.bps.go.id/id/statistics-table/3/V1ZKMWVrSTNOek5ZZUZOcVZEZGFValJvV0hWalFUMDkjMw==/rata-rata-pengeluaran-per-kapita-sebulan-makanan-dan-bukan-makanan-di-daerah-perkotaan-dan-perdesaan-menurut-kabupaten-kota-di-provinsi-jawa-timur--rupiah---2023.html?year=2020 </t>
  </si>
  <si>
    <t xml:space="preserve">2020-2025</t>
  </si>
  <si>
    <t xml:space="preserve">d18_pengeluaran_rt_jatim.xlsx</t>
  </si>
  <si>
    <t xml:space="preserve">Hitung share makanan.</t>
  </si>
  <si>
    <t xml:space="preserve">Hanya jika waktu ada; menguatkan narasi daya beli. | [Audit 3 Okt] Tersedia makanan &amp; bukan makanan; total dihitung = makanan + bukan makanan. Bukan makanan Kota Batu 2023 = 2025 persis (perlu cek).</t>
  </si>
  <si>
    <t xml:space="preserve">D19</t>
  </si>
  <si>
    <t xml:space="preserve">Inflasi / IHK Jawa Timur</t>
  </si>
  <si>
    <t xml:space="preserve">inflasi tahunan jawa timur / indeks harga konsumen</t>
  </si>
  <si>
    <t xml:space="preserve">Inflasi Tahunan / Year-on-Year (y-on-y) Menurut Kelompok dan Subkelompok Pengeluaran Provinsi Jawa Timur, 2025</t>
  </si>
  <si>
    <t xml:space="preserve">https://jatim.bps.go.id/id/publication/2026/02/27/0f94ddcd7070fb35513c4456/indeks-harga-konsumen-provinsi-jawa-timur-2025.html</t>
  </si>
  <si>
    <t xml:space="preserve">d19_inflasi_jatim.xlsx</t>
  </si>
  <si>
    <t xml:space="preserve">Gunakan data tahunan (Des ke Des).</t>
  </si>
  <si>
    <t xml:space="preserve">Opsional.</t>
  </si>
  <si>
    <t xml:space="preserve">D20</t>
  </si>
  <si>
    <t xml:space="preserve">Pendukung non-BPS</t>
  </si>
  <si>
    <t xml:space="preserve">Batas wilayah digital kab/kota Jatim (GeoJSON/Shapefile)</t>
  </si>
  <si>
    <t xml:space="preserve">3, 4, 9</t>
  </si>
  <si>
    <t xml:space="preserve">38 poligon</t>
  </si>
  <si>
    <t xml:space="preserve">(cari di GitHub / portal data spasial: 'geojson kabupaten kota jawa timur kode bps')</t>
  </si>
  <si>
    <t xml:space="preserve">GeoJSON batas kab/kota Jatim (38 poligon)</t>
  </si>
  <si>
    <t xml:space="preserve">Non-BPS (catat sumber &amp; lisensi)</t>
  </si>
  <si>
    <t xml:space="preserve">https://github.com/ghapsara/indonesia-atlas/tree/master/kabupaten-kota</t>
  </si>
  <si>
    <t xml:space="preserve">geojson</t>
  </si>
  <si>
    <t xml:space="preserve">jawa-timur.json</t>
  </si>
  <si>
    <t xml:space="preserve">Filter Jatim (kode 35xx); sederhanakan geometri (mapshaper); cek CRS = EPSG:4326.</t>
  </si>
  <si>
    <t xml:space="preserve">ghapsara, Indonesia Atlas: Indonesia lightweight TopoJSON files, GitHub repository, folder kabupaten-kota. [Online]. Available: https://github.com/ghapsara/indonesia-atlas/tree/master/kabupaten-kota. Accessed: Oct. 3, 2026.</t>
  </si>
  <si>
    <t xml:space="preserve">Wajib cantumkan sumber &amp; lisensi. Cek jumlah poligon = 38. | [Audit 3 Okt] Lisensi tidak dinyatakan secara eksplisit oleh repository sumber. 38 fitur valid, tanpa kode wilayah; kode ditambahkan di src/04_geo.py (nama kembar dibedakan dengan luas poligon).</t>
  </si>
  <si>
    <t xml:space="preserve">D21</t>
  </si>
  <si>
    <t xml:space="preserve">Pendukung</t>
  </si>
  <si>
    <t xml:space="preserve">Tabel kode wilayah BPS/Kemendagri kab/kota Jatim</t>
  </si>
  <si>
    <t xml:space="preserve">38 kab/kota</t>
  </si>
  <si>
    <t xml:space="preserve">kode wilayah kabupaten kota jawa timur 3501–3579</t>
  </si>
  <si>
    <t xml:space="preserve">Kode Wilayah yang direlasikan adalah Kode Wilayah Kerja Statistik (Wilkerstat) BPS dengan Kode Wilayah Adminitstrasi Kemendagri.</t>
  </si>
  <si>
    <t xml:space="preserve">BPS / Kemendagri</t>
  </si>
  <si>
    <t xml:space="preserve">https://sig.bps.go.id/bridging-kode/index</t>
  </si>
  <si>
    <t xml:space="preserve">d21_kode_wilayah.csv</t>
  </si>
  <si>
    <t xml:space="preserve">Pastikan kode sama format (teks, 4 digit) di semua tabel dan GeoJSON.</t>
  </si>
  <si>
    <t xml:space="preserve">Badan Pusat Statistik, Kode Relasi BPS dengan Kemendagri, Sistem Informasi Geografis BPS. [Online]. Available: https://sig.bps.go.id/bridging-kode/index. Accessed: Oct. 3, 2026.</t>
  </si>
  <si>
    <t xml:space="preserve">Join key paling sering bermasalah. Simpan sebagai TEKS agar tidak kehilangan nol/format.</t>
  </si>
  <si>
    <t xml:space="preserve">D22</t>
  </si>
  <si>
    <t xml:space="preserve">Pendukung (buat sendiri)</t>
  </si>
  <si>
    <t xml:space="preserve">Pemetaan 17 lapangan usaha → sektor primer / sekunder / tersier</t>
  </si>
  <si>
    <t xml:space="preserve">17 LU</t>
  </si>
  <si>
    <t xml:space="preserve">(dibuat sendiri; dokumentasikan di README)</t>
  </si>
  <si>
    <t xml:space="preserve">Pemetaan 17 lapangan usaha PDRB ke sektor primer/sekunder/tersier (dibuat sendiri)</t>
  </si>
  <si>
    <t xml:space="preserve">Dibuat sendiri berdasarkan klasifikasi KBLI/PDRB</t>
  </si>
  <si>
    <t xml:space="preserve">csv</t>
  </si>
  <si>
    <t xml:space="preserve">config/mapping_sektor.csv</t>
  </si>
  <si>
    <t xml:space="preserve">Primer: A, B. Sekunder: C, D, E, F. Tersier: G s.d. RSTU.</t>
  </si>
  <si>
    <t xml:space="preserve">kode_LU</t>
  </si>
  <si>
    <t xml:space="preserve">Pengelompokan ini adalah KEPUTUSAN desainmu: jelaskan di Metodologi. | [Audit 3 Okt] Kode di data memakai gabungan 'M,N' dan 'R,S,T,U' (17 kategori). Seluruh kategori termapping (tervalidasi).</t>
  </si>
  <si>
    <t xml:space="preserve">CHECKLIST SYARAT DOSEN (to-do list)</t>
  </si>
  <si>
    <t xml:space="preserve">Setiap baris diambil dari lembar soal. Ubah Status menjadi Selesai saat sudah beres, dan isi kolom bukti (mis. nama file, link, atau nomor halaman).</t>
  </si>
  <si>
    <t xml:space="preserve">Syarat / Tugas</t>
  </si>
  <si>
    <t xml:space="preserve">Rujukan</t>
  </si>
  <si>
    <t xml:space="preserve">Bukti / catatan (file, link, halaman)</t>
  </si>
  <si>
    <t xml:space="preserve">A. Pengumpulan</t>
  </si>
  <si>
    <t xml:space="preserve">Tanda tangan bukti kehadiran dan serahkan hardcopy makalah sesuai jadwal &amp; ruang BAAK (Senin, 5 Okt 2026, 13.30–15.30)</t>
  </si>
  <si>
    <t xml:space="preserve">Petunjuk</t>
  </si>
  <si>
    <t xml:space="preserve">Unggah softcopy PDF dengan nama kelas_nim_nama.pdf ke https://s.stis.ac.id/UAS-Visdat-2026 paling lambat pada hari dan sesi ujian</t>
  </si>
  <si>
    <t xml:space="preserve">Tautan proyek tetap aktif sampai nilai akhir diumumkan (cek ulang H-1 dan hari ujian)</t>
  </si>
  <si>
    <t xml:space="preserve">Soal 3.b</t>
  </si>
  <si>
    <t xml:space="preserve">B. Topik</t>
  </si>
  <si>
    <t xml:space="preserve">Minimal 3 dari 6 topik: Multivariat + Geospasial + Hierarki</t>
  </si>
  <si>
    <t xml:space="preserve">Soal 1</t>
  </si>
  <si>
    <t xml:space="preserve">C. Data</t>
  </si>
  <si>
    <t xml:space="preserve">Data utama bersumber BPS (tabel statistik/publikasi/BRS/WebAPI)</t>
  </si>
  <si>
    <t xml:space="preserve">Soal 2</t>
  </si>
  <si>
    <t xml:space="preserve">Setiap tabel dicatat: judul, tahun data, URL, tanggal akses (+jam akses) di sheet Data Inventory</t>
  </si>
  <si>
    <t xml:space="preserve">Soal 2.b</t>
  </si>
  <si>
    <t xml:space="preserve">Tertulis 'Sumber: BPS' pada SETIAP visualisasi</t>
  </si>
  <si>
    <t xml:space="preserve">Data non-BPS (GeoJSON batas wilayah) dicantumkan sumber dan lisensinya</t>
  </si>
  <si>
    <t xml:space="preserve">Soal 2.a</t>
  </si>
  <si>
    <t xml:space="preserve">Simpan tangkapan layar jawaban dosen (lokus Jatim, unit lebih sedikit dari 500, tahun 20–30 tahun terakhir) sebagai bukti</t>
  </si>
  <si>
    <t xml:space="preserve">FAQ dosen</t>
  </si>
  <si>
    <t xml:space="preserve">D. Produk</t>
  </si>
  <si>
    <t xml:space="preserve">Aplikasi/laman web di-deploy, dapat diakses publik TANPA login dan instalasi</t>
  </si>
  <si>
    <t xml:space="preserve">Soal 3</t>
  </si>
  <si>
    <t xml:space="preserve">Repositori publik GitHub/GitLab berisi kode, data terolah, dan README</t>
  </si>
  <si>
    <t xml:space="preserve">README memuat: deskripsi, sumber data, cara reproduksi, link deploy, struktur folder, deklarasi AI</t>
  </si>
  <si>
    <t xml:space="preserve">Soal 3 / Rubrik</t>
  </si>
  <si>
    <t xml:space="preserve">Kode pengolahan terdokumentasi dan dapat direproduksi (notebook/script berurutan)</t>
  </si>
  <si>
    <t xml:space="preserve">Rubrik Data BPS (20)</t>
  </si>
  <si>
    <t xml:space="preserve">E. Multivariat</t>
  </si>
  <si>
    <t xml:space="preserve">≥8 variabel numerik dan ≥34 unit observasi (38 kab/kota Jatim)</t>
  </si>
  <si>
    <t xml:space="preserve">Lamp. A</t>
  </si>
  <si>
    <t xml:space="preserve">1 teknik reduksi dimensi (PCA/MDS/t-SNE/UMAP)</t>
  </si>
  <si>
    <t xml:space="preserve">≥2 teknik lain (parallel coordinates, heatmap terklaster, scatterplot matrix, biplot, radar)</t>
  </si>
  <si>
    <t xml:space="preserve">Brushing dan linking antar tampilan berfungsi</t>
  </si>
  <si>
    <t xml:space="preserve">Interpretasi kelompok dan pencilan ditulis</t>
  </si>
  <si>
    <t xml:space="preserve">F. Geospasial</t>
  </si>
  <si>
    <t xml:space="preserve">Kunci join memakai kode wilayah BPS (35xx), 38 poligon cocok semua</t>
  </si>
  <si>
    <t xml:space="preserve">≥2 jenis peta berbeda (choropleth + proportional symbol)</t>
  </si>
  <si>
    <t xml:space="preserve">Choropleth memakai rasio/kepadatan, BUKAN angka absolut</t>
  </si>
  <si>
    <t xml:space="preserve">Metode klasifikasi dan palet warna dijustifikasi tertulis</t>
  </si>
  <si>
    <t xml:space="preserve">Tooltip, legenda, zoom/pan, dan kontrol layer</t>
  </si>
  <si>
    <t xml:space="preserve">G. Hierarki</t>
  </si>
  <si>
    <t xml:space="preserve">≥3 level hierarki (Jatim → sektor → lapangan usaha → kab/kota)</t>
  </si>
  <si>
    <t xml:space="preserve">≥2 representasi berbeda (treemap + sunburst)</t>
  </si>
  <si>
    <t xml:space="preserve">Ukuran dan warna mengkodekan DUA variabel berbeda</t>
  </si>
  <si>
    <t xml:space="preserve">Drill-down/zoom dengan penunjuk posisi (breadcrumb)</t>
  </si>
  <si>
    <t xml:space="preserve">H. Umum visual</t>
  </si>
  <si>
    <t xml:space="preserve">Minimal 1 interaksi bermakna (tooltip/filter/highlight/zoom/drill-down)</t>
  </si>
  <si>
    <t xml:space="preserve">Soal 4.a</t>
  </si>
  <si>
    <t xml:space="preserve">Judul, legenda, satuan, sumber jelas di setiap visualisasi; alasan encoding bisa dijelaskan</t>
  </si>
  <si>
    <t xml:space="preserve">Soal 4.b</t>
  </si>
  <si>
    <t xml:space="preserve">Palet ramah buta warna (cek dengan simulator, mis. Coblis atau ekstensi browser)</t>
  </si>
  <si>
    <t xml:space="preserve">Soal 4.c</t>
  </si>
  <si>
    <t xml:space="preserve">Tampil baik di laptop DAN ponsel (uji di HP sungguhan)</t>
  </si>
  <si>
    <t xml:space="preserve">I. Makalah</t>
  </si>
  <si>
    <t xml:space="preserve">Format IEEE dua kolom, 6–8 halaman (lihat sheet Struktur Makalah)</t>
  </si>
  <si>
    <t xml:space="preserve">Soal 5</t>
  </si>
  <si>
    <t xml:space="preserve">Abstrak ≤200 kata + kata kunci</t>
  </si>
  <si>
    <t xml:space="preserve">Soal 6</t>
  </si>
  <si>
    <t xml:space="preserve">Referensi ≥10, ≥3 jurnal/konferensi internasional, gaya IEEE (lihat sheet Kandidat Referensi)</t>
  </si>
  <si>
    <t xml:space="preserve">Struktur: Pendahuluan, Penelitian Terkait, Metodologi, Hasil &amp; Pembahasan, Kesimpulan</t>
  </si>
  <si>
    <t xml:space="preserve">URL proyek dan URL repositori ditulis di akhir makalah, SETELAH Kesimpulan</t>
  </si>
  <si>
    <t xml:space="preserve">Tangkapan layar aplikasi, temuan, evaluasi rancangan, dan keterbatasan ada di Hasil &amp; Pembahasan</t>
  </si>
  <si>
    <t xml:space="preserve">Soal 6.d</t>
  </si>
  <si>
    <t xml:space="preserve">J. Integritas</t>
  </si>
  <si>
    <t xml:space="preserve">Penggunaan alat bantu AI dideklarasikan di bagian Metodologi</t>
  </si>
  <si>
    <t xml:space="preserve">Soal 7</t>
  </si>
  <si>
    <t xml:space="preserve">Kutipan, kode, dan gagasan dari sumber lain dicantumkan; tidak ada plagiarisme</t>
  </si>
  <si>
    <t xml:space="preserve">Siap menjelaskan dan mendemonstrasikan setiap bagian proyek jika diminta</t>
  </si>
  <si>
    <t xml:space="preserve">K. Cek rubrik</t>
  </si>
  <si>
    <t xml:space="preserve">Data BPS &amp; pengolahan (20): data sesuai, sumber jelas, kode reproduksibel</t>
  </si>
  <si>
    <t xml:space="preserve">Lamp. B</t>
  </si>
  <si>
    <t xml:space="preserve">Rancangan visualisasi (30): teknik tepat, encoding bagus, prinsip persepsi, syarat minimal terpenuhi</t>
  </si>
  <si>
    <t xml:space="preserve">Implementasi &amp; deployment (15): interaktif, responsif, publik, repo+README</t>
  </si>
  <si>
    <t xml:space="preserve">Insight &amp; pembahasan (10): interpretasi dalam, evaluasi kritis, keterbatasan</t>
  </si>
  <si>
    <t xml:space="preserve">Makalah &amp; referensi (15): format, struktur, bahasa, referensi relevan</t>
  </si>
  <si>
    <t xml:space="preserve">Orisinalitas &amp; kreativitas (10): tema unik, solusi visual kreatif</t>
  </si>
  <si>
    <t xml:space="preserve">STRUKTUR MAKALAH IEEE (6–8 halaman, dua kolom)</t>
  </si>
  <si>
    <t xml:space="preserve">Kolom 'Estimasi halaman' bisa kamu ubah (kuning). Total harus berada di 6–8 halaman. Tulis makalah SETELAH aplikasi jadi supaya tangkapan layar dan temuan sudah ada.</t>
  </si>
  <si>
    <t xml:space="preserve">Bagian</t>
  </si>
  <si>
    <t xml:space="preserve">Isi wajib</t>
  </si>
  <si>
    <t xml:space="preserve">Diambil dari</t>
  </si>
  <si>
    <t xml:space="preserve">Estimasi halaman</t>
  </si>
  <si>
    <t xml:space="preserve">Gambar / tabel</t>
  </si>
  <si>
    <t xml:space="preserve">Catatan</t>
  </si>
  <si>
    <t xml:space="preserve">Judul &amp; penulis</t>
  </si>
  <si>
    <t xml:space="preserve">Judul proyek, nama, NIM, kelas, Politeknik Statistika STIS</t>
  </si>
  <si>
    <t xml:space="preserve">Sheet Master Plan (judul)</t>
  </si>
  <si>
    <t xml:space="preserve">Abstrak (≤200 kata) + Kata kunci</t>
  </si>
  <si>
    <t xml:space="preserve">Latar, tujuan, data (BPS, Jatim, 2010–2025), metode (PCA, choropleth, treemap/sunburst), temuan utama, tautan. Kata kunci: visualisasi data, Jawa Timur, daya beli, PCA, choropleth, treemap</t>
  </si>
  <si>
    <t xml:space="preserve">Seluruh plan</t>
  </si>
  <si>
    <t xml:space="preserve">I. Pendahuluan</t>
  </si>
  <si>
    <t xml:space="preserve">Latar belakang (daya beli &amp; pergeseran ekonomi pasca-COVID), permasalahan (rata-rata provinsi menutupi ketimpangan), tujuan proyek, kontribusi</t>
  </si>
  <si>
    <t xml:space="preserve">Master Plan No. 1–2</t>
  </si>
  <si>
    <t xml:space="preserve">Opsional: 1 gambar konteks</t>
  </si>
  <si>
    <t xml:space="preserve">II. Penelitian Terkait</t>
  </si>
  <si>
    <t xml:space="preserve">Kajian visualisasi sejenis dan teknik yang dipakai: peta tematik, multivariat (PCA, parallel coordinates), hierarki (treemap, sunburst), narrative visualization</t>
  </si>
  <si>
    <t xml:space="preserve">Sheet Kandidat Referensi</t>
  </si>
  <si>
    <t xml:space="preserve">III-A. Metodologi: Data BPS</t>
  </si>
  <si>
    <t xml:space="preserve">Daftar tabel (judul, tahun, URL, tanggal akses), periode, 38 kab/kota, alasan memilih 2010 sebagai tahun awal (tahun dasar PDRB &amp; metode IPM), konfirmasi dosen soal lokus</t>
  </si>
  <si>
    <t xml:space="preserve">Data Inventory (semua kolom)</t>
  </si>
  <si>
    <t xml:space="preserve">Tabel ringkas sumber data</t>
  </si>
  <si>
    <t xml:space="preserve">III-B. Pra-pemrosesan</t>
  </si>
  <si>
    <t xml:space="preserve">Pembersihan, penyeragaman kode wilayah, standardisasi, penanganan data hilang, pemetaan sektor (D22)</t>
  </si>
  <si>
    <t xml:space="preserve">Data Inventory kolom Pra-pemrosesan</t>
  </si>
  <si>
    <t xml:space="preserve">III-C. Rancangan visualisasi</t>
  </si>
  <si>
    <t xml:space="preserve">Pemilihan teknik per topik dan alasan encoding (posisi, warna, ukuran), palet ramah buta warna, klasifikasi peta</t>
  </si>
  <si>
    <t xml:space="preserve">Master Plan kolom Penjelasan Desain</t>
  </si>
  <si>
    <t xml:space="preserve">Diagram alur rancangan (opsional)</t>
  </si>
  <si>
    <t xml:space="preserve">III-D. Implementasi &amp; deployment + deklarasi AI</t>
  </si>
  <si>
    <t xml:space="preserve">Framework, hosting, repo, README; WAJIB deklarasi penggunaan alat bantu AI di sini</t>
  </si>
  <si>
    <t xml:space="preserve">Checklist J</t>
  </si>
  <si>
    <t xml:space="preserve">IV-A. Hasil: tangkapan layar</t>
  </si>
  <si>
    <t xml:space="preserve">Screenshot tiap bagian (peta, treemap/sunburst, PCA, parallel coordinates, heatmap)</t>
  </si>
  <si>
    <t xml:space="preserve">Master Plan No. 3–9</t>
  </si>
  <si>
    <t xml:space="preserve">4–6 gambar</t>
  </si>
  <si>
    <t xml:space="preserve">IV-B. Temuan / insight</t>
  </si>
  <si>
    <t xml:space="preserve">Pola spasial, pergeseran struktur ekonomi, klaster dan pencilan (angka konkret dari data)</t>
  </si>
  <si>
    <t xml:space="preserve">Master Plan No. 9–10</t>
  </si>
  <si>
    <t xml:space="preserve">IV-C. Evaluasi rancangan &amp; keterbatasan</t>
  </si>
  <si>
    <t xml:space="preserve">Kekuatan/kelemahan desain, uji di ponsel, uji buta warna, keterbatasan data (proxy, 38 unit, tahun)</t>
  </si>
  <si>
    <t xml:space="preserve">Checklist H</t>
  </si>
  <si>
    <t xml:space="preserve">V. Kesimpulan</t>
  </si>
  <si>
    <t xml:space="preserve">Jawab permasalahan, 3 temuan utama, saran pengembangan</t>
  </si>
  <si>
    <t xml:space="preserve">Master Plan No. 11</t>
  </si>
  <si>
    <t xml:space="preserve">URL proyek &amp; repositori (setelah Kesimpulan)</t>
  </si>
  <si>
    <t xml:space="preserve">Tulis URL aplikasi publik dan URL repo GitHub/GitLab</t>
  </si>
  <si>
    <t xml:space="preserve">Daftar Pustaka (≥10; ≥3 jurnal/konferensi internasional)</t>
  </si>
  <si>
    <t xml:space="preserve">Gaya IEEE; sertakan tabel BPS yang dipakai</t>
  </si>
  <si>
    <t xml:space="preserve">Kandidat Referensi + Data Inventory kolom Sitasi</t>
  </si>
  <si>
    <t xml:space="preserve">TOTAL (target 6–8 halaman)</t>
  </si>
  <si>
    <t xml:space="preserve">KANDIDAT REFERENSI (HARUS kamu verifikasi sendiri)</t>
  </si>
  <si>
    <t xml:space="preserve">Daftar ini titik awal pencarian, dari ingatan model AI. Cari tiap judul di Google Scholar/IEEE Xplore/ACM DL, cek detail (tahun, halaman, DOI) sebelum dikutip, lalu salin format IEEE ke kolom kuning. Tambahkan 1–2 kajian Indonesia tentang daya beli/kelas menengah pasca-COVID dari jurnal bereputasi.</t>
  </si>
  <si>
    <t xml:space="preserve">Topik</t>
  </si>
  <si>
    <t xml:space="preserve">Kandidat (verifikasi dulu!)</t>
  </si>
  <si>
    <t xml:space="preserve">Jenis</t>
  </si>
  <si>
    <t xml:space="preserve">Terverifikasi?</t>
  </si>
  <si>
    <t xml:space="preserve">Sitasi IEEE final / catatan</t>
  </si>
  <si>
    <t xml:space="preserve">Storytelling</t>
  </si>
  <si>
    <t xml:space="preserve">E. Segel and J. Heer, "Narrative visualization: Telling stories with data," IEEE Trans. Vis. Comput. Graphics, 2010.</t>
  </si>
  <si>
    <t xml:space="preserve">Jurnal Internasional</t>
  </si>
  <si>
    <t xml:space="preserve">Nama penulis pertama dikoreksi: Edward Segel (bukan B.).</t>
  </si>
  <si>
    <t xml:space="preserve">Prinsip interaksi</t>
  </si>
  <si>
    <t xml:space="preserve">B. Shneiderman, "The eyes have it: A task by data type taxonomy for information visualizations," IEEE Symp. Visual Languages, 1996.</t>
  </si>
  <si>
    <t xml:space="preserve">Konferensi Internasional</t>
  </si>
  <si>
    <t xml:space="preserve">B. Johnson and B. Shneiderman, "Tree-maps: A space-filling approach to the visualization of hierarchical information structures," IEEE Visualization, 1991.</t>
  </si>
  <si>
    <t xml:space="preserve">J. Stasko et al., "An evaluation of space-filling information visualizations for depicting hierarchical structures," Int. J. Human-Computer Studies, 2000.</t>
  </si>
  <si>
    <t xml:space="preserve">I. T. Jolliffe and J. Cadima, "Principal component analysis: a review and recent developments," Phil. Trans. R. Soc. A, 2016.</t>
  </si>
  <si>
    <t xml:space="preserve">A. Inselberg, "The plane with parallel coordinates," The Visual Computer, 1985.</t>
  </si>
  <si>
    <t xml:space="preserve">Warna / peta</t>
  </si>
  <si>
    <t xml:space="preserve">M. Harrower and C. A. Brewer, "ColorBrewer.org: An online tool for selecting colour schemes for maps," The Cartographic Journal, 2003.</t>
  </si>
  <si>
    <t xml:space="preserve">Persepsi</t>
  </si>
  <si>
    <t xml:space="preserve">W. S. Cleveland and R. McGill, "Graphical perception: Theory, experimentation, and application to the development of graphical methods," J. American Statistical Association, 1984.</t>
  </si>
  <si>
    <t xml:space="preserve">Tools</t>
  </si>
  <si>
    <t xml:space="preserve">M. Bostock, V. Ogievetsky, and J. Heer, "D3: Data-Driven Documents," IEEE Trans. Vis. Comput. Graphics, 2011.</t>
  </si>
  <si>
    <t xml:space="preserve">Ganti dengan Vega-Lite/Plotly jika itu yang kamu pakai.</t>
  </si>
  <si>
    <t xml:space="preserve">A. Satyanarayan et al., "Vega-Lite: A grammar of interactive graphics," IEEE Trans. Vis. Comput. Graphics, 2017.</t>
  </si>
  <si>
    <t xml:space="preserve">Spasial (opsional)</t>
  </si>
  <si>
    <t xml:space="preserve">L. Anselin, "Local indicators of spatial association—LISA," Geographical Analysis, 1995.</t>
  </si>
  <si>
    <t xml:space="preserve">Hanya jika memakai Moran's I/LISA.</t>
  </si>
  <si>
    <t xml:space="preserve">Data</t>
  </si>
  <si>
    <t xml:space="preserve">BPS tabel/publikasi yang kamu pakai (isi dari kolom Sitasi IEEE di Data Inventory)</t>
  </si>
  <si>
    <t xml:space="preserve">Sumber BPS</t>
  </si>
  <si>
    <t xml:space="preserve">Konteks Indonesia</t>
  </si>
  <si>
    <t xml:space="preserve">[Cari: kajian daya beli / kelas menengah / pemulihan pasca-COVID di Indonesia atau Jawa Timur]</t>
  </si>
  <si>
    <t xml:space="preserve">Jurnal (cek)</t>
  </si>
  <si>
    <t xml:space="preserve">Belum ada judul; cari sendiri.</t>
  </si>
  <si>
    <t xml:space="preserve">[Cari: kajian visualisasi data statistik BPS atau dasbor daerah di Indonesia]</t>
  </si>
  <si>
    <t xml:space="preserve">Jurnal/Konferensi (cek)</t>
  </si>
  <si>
    <t xml:space="preserve">Jumlah referensi internasional (jurnal/konferensi) yang sudah Selesai diverifikasi (target ≥3):</t>
  </si>
  <si>
    <t xml:space="preserve">Total referensi yang sudah Selesai diverifikasi (target ≥10):</t>
  </si>
  <si>
    <t xml:space="preserve">TIMELINE JUMAT 2 OKT → SENIN 5 OKT 2026</t>
  </si>
  <si>
    <t xml:space="preserve">Ujian Senin 13.30–15.30 (hardcopy + unggah PDF paling lambat pada sesi ujian). Gunakan Minggu malam hanya sebagai cadangan.</t>
  </si>
  <si>
    <t xml:space="preserve">Hari</t>
  </si>
  <si>
    <t xml:space="preserve">Waktu</t>
  </si>
  <si>
    <t xml:space="preserve">Tugas</t>
  </si>
  <si>
    <t xml:space="preserve">Output</t>
  </si>
  <si>
    <t xml:space="preserve">Terkait sheet</t>
  </si>
  <si>
    <t xml:space="preserve">Jumat 2 Okt</t>
  </si>
  <si>
    <t xml:space="preserve">Malam (±4 jam)</t>
  </si>
  <si>
    <t xml:space="preserve">Kunci tema/judul dan 3 topik; STOP menimbang</t>
  </si>
  <si>
    <t xml:space="preserve">Keputusan final</t>
  </si>
  <si>
    <t xml:space="preserve">Master Plan</t>
  </si>
  <si>
    <t xml:space="preserve">Malam</t>
  </si>
  <si>
    <t xml:space="preserve">Unduh tabel D01–D15 dari BPS (prioritas: D03–D12, D16)</t>
  </si>
  <si>
    <t xml:space="preserve">File mentah + log akses terisi</t>
  </si>
  <si>
    <t xml:space="preserve">Data Inventory</t>
  </si>
  <si>
    <t xml:space="preserve">Cari GeoJSON (D20) dan kode wilayah (D21); cek 38 poligon</t>
  </si>
  <si>
    <t xml:space="preserve">File batas wilayah</t>
  </si>
  <si>
    <t xml:space="preserve">Jika D16 (PDRB lapangan usaha kab/kota) tidak ada → putuskan fallback hierarki</t>
  </si>
  <si>
    <t xml:space="preserve">Keputusan fallback</t>
  </si>
  <si>
    <t xml:space="preserve">Sabtu 3 Okt</t>
  </si>
  <si>
    <t xml:space="preserve">Pagi</t>
  </si>
  <si>
    <t xml:space="preserve">Bersihkan data di satu notebook; gabungkan ke format long; simpan data terolah</t>
  </si>
  <si>
    <t xml:space="preserve">data/processed/*.csv</t>
  </si>
  <si>
    <t xml:space="preserve">Bangun peta (choropleth + proportional symbol) dan interaksi</t>
  </si>
  <si>
    <t xml:space="preserve">Bagian Geospasial</t>
  </si>
  <si>
    <t xml:space="preserve">Master Plan 3–4</t>
  </si>
  <si>
    <t xml:space="preserve">Siang</t>
  </si>
  <si>
    <t xml:space="preserve">Bangun treemap + sunburst dengan breadcrumb</t>
  </si>
  <si>
    <t xml:space="preserve">Bagian Hierarki</t>
  </si>
  <si>
    <t xml:space="preserve">Master Plan 5–6</t>
  </si>
  <si>
    <t xml:space="preserve">Siang–Sore</t>
  </si>
  <si>
    <t xml:space="preserve">Bangun PCA + parallel coordinates + heatmap, brushing &amp; linking</t>
  </si>
  <si>
    <t xml:space="preserve">Bagian Multivariat</t>
  </si>
  <si>
    <t xml:space="preserve">Master Plan 7–9</t>
  </si>
  <si>
    <t xml:space="preserve">Sore</t>
  </si>
  <si>
    <t xml:space="preserve">Rangkai opening, konteks, closing; palet ramah buta warna; deploy</t>
  </si>
  <si>
    <t xml:space="preserve">Link publik aktif</t>
  </si>
  <si>
    <t xml:space="preserve">Master Plan 1–2, 11</t>
  </si>
  <si>
    <t xml:space="preserve">Uji di ponsel; buat repo publik + README + data terolah</t>
  </si>
  <si>
    <t xml:space="preserve">Repo publik</t>
  </si>
  <si>
    <t xml:space="preserve">Checklist D, H</t>
  </si>
  <si>
    <t xml:space="preserve">Minggu 4 Okt</t>
  </si>
  <si>
    <t xml:space="preserve">Ambil screenshot final; cari &amp; verifikasi referensi</t>
  </si>
  <si>
    <t xml:space="preserve">Gambar + daftar pustaka</t>
  </si>
  <si>
    <t xml:space="preserve">Kandidat Referensi</t>
  </si>
  <si>
    <t xml:space="preserve">Tulis Metodologi, Hasil &amp; Pembahasan (+ deklarasi AI)</t>
  </si>
  <si>
    <t xml:space="preserve">Draf bagian inti</t>
  </si>
  <si>
    <t xml:space="preserve">Struktur Makalah</t>
  </si>
  <si>
    <t xml:space="preserve">Tulis Pendahuluan, Penelitian Terkait, Kesimpulan, abstrak; URL setelah Kesimpulan</t>
  </si>
  <si>
    <t xml:space="preserve">Draf lengkap</t>
  </si>
  <si>
    <t xml:space="preserve">Rapikan format IEEE, cek 6–8 halaman, ekspor kelas_nim_nama.pdf, cetak</t>
  </si>
  <si>
    <t xml:space="preserve">PDF + hardcopy</t>
  </si>
  <si>
    <t xml:space="preserve">Checklist I</t>
  </si>
  <si>
    <t xml:space="preserve">Senin 5 Okt</t>
  </si>
  <si>
    <t xml:space="preserve">Cek link publik &amp; repo masih aktif; unggah PDF ke tautan; siapkan demo</t>
  </si>
  <si>
    <t xml:space="preserve">Bukti unggah</t>
  </si>
  <si>
    <t xml:space="preserve">Checklist A</t>
  </si>
</sst>
</file>

<file path=xl/styles.xml><?xml version="1.0" encoding="utf-8"?>
<styleSheet xmlns="http://schemas.openxmlformats.org/spreadsheetml/2006/main">
  <numFmts count="5">
    <numFmt numFmtId="164" formatCode="General"/>
    <numFmt numFmtId="165" formatCode="0%"/>
    <numFmt numFmtId="166" formatCode="dd\ mmm\ yyyy"/>
    <numFmt numFmtId="167" formatCode="h:mm"/>
    <numFmt numFmtId="168" formatCode="0.0"/>
  </numFmts>
  <fonts count="16">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2"/>
      <color rgb="FF1F3864"/>
      <name val="Arial"/>
      <family val="0"/>
      <charset val="1"/>
    </font>
    <font>
      <b val="true"/>
      <sz val="11"/>
      <name val="Arial"/>
      <family val="0"/>
      <charset val="1"/>
    </font>
    <font>
      <b val="true"/>
      <sz val="14"/>
      <color rgb="FF1F3864"/>
      <name val="Arial"/>
      <family val="0"/>
      <charset val="1"/>
    </font>
    <font>
      <i val="true"/>
      <sz val="9"/>
      <color rgb="FF595959"/>
      <name val="Arial"/>
      <family val="0"/>
      <charset val="1"/>
    </font>
    <font>
      <b val="true"/>
      <sz val="10"/>
      <color rgb="FFFFFFFF"/>
      <name val="Arial"/>
      <family val="0"/>
      <charset val="1"/>
    </font>
    <font>
      <i val="true"/>
      <sz val="10"/>
      <color rgb="FF7F7F7F"/>
      <name val="Arial"/>
      <family val="0"/>
      <charset val="1"/>
    </font>
    <font>
      <sz val="10"/>
      <name val="Arial"/>
      <family val="2"/>
      <charset val="1"/>
    </font>
    <font>
      <u val="single"/>
      <sz val="11"/>
      <color theme="10"/>
      <name val="Calibri"/>
      <family val="2"/>
      <charset val="1"/>
    </font>
  </fonts>
  <fills count="5">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true" applyAlignment="true" applyProtection="true">
      <alignment horizontal="general" vertical="bottom" textRotation="0" wrapText="false" indent="0" shrinkToFit="false"/>
      <protection locked="true" hidden="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5" fontId="9"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2" borderId="1" xfId="0" applyFont="true" applyBorder="true" applyAlignment="true" applyProtection="false">
      <alignment horizontal="left" vertical="top" textRotation="0" wrapText="true" indent="0" shrinkToFit="false"/>
      <protection locked="true" hidden="false"/>
    </xf>
    <xf numFmtId="164" fontId="14" fillId="2" borderId="1" xfId="0" applyFont="true" applyBorder="true" applyAlignment="true" applyProtection="false">
      <alignment horizontal="center" vertical="top" textRotation="0" wrapText="true" indent="0" shrinkToFit="false"/>
      <protection locked="true" hidden="false"/>
    </xf>
    <xf numFmtId="166" fontId="14" fillId="2" borderId="1" xfId="0" applyFont="true" applyBorder="true" applyAlignment="true" applyProtection="false">
      <alignment horizontal="center" vertical="top" textRotation="0" wrapText="true" indent="0" shrinkToFit="false"/>
      <protection locked="true" hidden="false"/>
    </xf>
    <xf numFmtId="167" fontId="7" fillId="2"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2" borderId="1" xfId="2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6" fontId="7" fillId="2"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bgColor rgb="FFC6EFCE"/>
        </patternFill>
      </fill>
    </dxf>
    <dxf>
      <fill>
        <patternFill>
          <bgColor rgb="FFFFEB9C"/>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jatim.bps.go.id/id/publication/2025/02/28/5ae8b994b1bebd8cbc2e0781/provinsi-jawa-timur-dalam-angka-2025.html" TargetMode="External"/><Relationship Id="rId2" Type="http://schemas.openxmlformats.org/officeDocument/2006/relationships/hyperlink" Target="https://jatim.bps.go.id/id/statistics-table/3/V1ZKMWVrSTNOek5ZZUZOcVZEZGFValJvV0hWalFUMDkjMw==/rata-rata-pengeluaran-per-kapita-sebulan-makanan-dan-bukan-makanan-di-daerah-perkotaan-dan-perdesaan-menurut-kabupaten-kota-di-provinsi-jawa-timur--rupiah---20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A21" activeCellId="0" sqref="A21"/>
    </sheetView>
  </sheetViews>
  <sheetFormatPr defaultColWidth="8.714843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9.5" hidden="false" customHeight="true" outlineLevel="0" collapsed="false">
      <c r="A1" s="1" t="s">
        <v>0</v>
      </c>
    </row>
    <row r="2" customFormat="false" ht="15" hidden="false" customHeight="false" outlineLevel="0" collapsed="false">
      <c r="A2" s="2" t="s">
        <v>1</v>
      </c>
    </row>
    <row r="4" customFormat="false" ht="25.5" hidden="false" customHeight="true" outlineLevel="0" collapsed="false">
      <c r="A4" s="3" t="s">
        <v>2</v>
      </c>
      <c r="B4" s="4" t="s">
        <v>3</v>
      </c>
    </row>
    <row r="5" customFormat="false" ht="38.25" hidden="false" customHeight="true" outlineLevel="0" collapsed="false">
      <c r="A5" s="3" t="s">
        <v>4</v>
      </c>
      <c r="B5" s="4" t="s">
        <v>5</v>
      </c>
    </row>
    <row r="6" customFormat="false" ht="25.5" hidden="false" customHeight="true" outlineLevel="0" collapsed="false">
      <c r="A6" s="3" t="s">
        <v>6</v>
      </c>
      <c r="B6" s="4" t="s">
        <v>7</v>
      </c>
    </row>
    <row r="7" customFormat="false" ht="51" hidden="false" customHeight="true" outlineLevel="0" collapsed="false">
      <c r="A7" s="5" t="s">
        <v>8</v>
      </c>
      <c r="B7" s="6" t="s">
        <v>9</v>
      </c>
    </row>
    <row r="8" customFormat="false" ht="38.25" hidden="false" customHeight="true" outlineLevel="0" collapsed="false">
      <c r="A8" s="5" t="s">
        <v>10</v>
      </c>
      <c r="B8" s="6" t="s">
        <v>11</v>
      </c>
    </row>
    <row r="9" customFormat="false" ht="25.5" hidden="false" customHeight="true" outlineLevel="0" collapsed="false">
      <c r="A9" s="5" t="s">
        <v>12</v>
      </c>
      <c r="B9" s="6" t="s">
        <v>13</v>
      </c>
    </row>
    <row r="10" customFormat="false" ht="25.5" hidden="false" customHeight="true" outlineLevel="0" collapsed="false">
      <c r="A10" s="5" t="s">
        <v>14</v>
      </c>
      <c r="B10" s="6" t="s">
        <v>15</v>
      </c>
    </row>
    <row r="11" customFormat="false" ht="38.25" hidden="false" customHeight="true" outlineLevel="0" collapsed="false">
      <c r="A11" s="3" t="s">
        <v>16</v>
      </c>
      <c r="B11" s="4" t="s">
        <v>17</v>
      </c>
    </row>
    <row r="13" customFormat="false" ht="15.75" hidden="false" customHeight="true" outlineLevel="0" collapsed="false">
      <c r="A13" s="7" t="s">
        <v>18</v>
      </c>
    </row>
    <row r="14" customFormat="false" ht="15" hidden="false" customHeight="false" outlineLevel="0" collapsed="false">
      <c r="A14" s="8" t="s">
        <v>19</v>
      </c>
      <c r="B14" s="9" t="str">
        <f aca="false">COUNTIF('Data Inventory'!S5:S26,"Selesai")&amp;" / "&amp;COUNTA('Data Inventory'!A5:A26)</f>
        <v>22 / 22</v>
      </c>
    </row>
    <row r="15" customFormat="false" ht="15" hidden="false" customHeight="false" outlineLevel="0" collapsed="false">
      <c r="A15" s="8" t="s">
        <v>20</v>
      </c>
      <c r="B15" s="9" t="str">
        <f aca="false">COUNTIF('Master Plan'!N5:N15,"Selesai")&amp;" / "&amp;COUNTA('Master Plan'!A5:A15)</f>
        <v>0 / 11</v>
      </c>
    </row>
    <row r="16" customFormat="false" ht="15" hidden="false" customHeight="false" outlineLevel="0" collapsed="false">
      <c r="A16" s="8" t="s">
        <v>21</v>
      </c>
      <c r="B16" s="9" t="str">
        <f aca="false">COUNTIF('Checklist Dosen'!D5:D50,"Selesai")&amp;" / "&amp;COUNTA('Checklist Dosen'!B5:B50)</f>
        <v>0 / 46</v>
      </c>
    </row>
    <row r="17" customFormat="false" ht="15" hidden="false" customHeight="false" outlineLevel="0" collapsed="false">
      <c r="A17" s="8" t="s">
        <v>22</v>
      </c>
      <c r="B17" s="9" t="str">
        <f aca="false">COUNTIF('Struktur Makalah'!F5:F18,"Selesai")&amp;" / "&amp;COUNTA('Struktur Makalah'!A5:A18)</f>
        <v>0 / 14</v>
      </c>
    </row>
    <row r="18" customFormat="false" ht="15" hidden="false" customHeight="false" outlineLevel="0" collapsed="false">
      <c r="A18" s="8" t="s">
        <v>23</v>
      </c>
      <c r="B18" s="9" t="str">
        <f aca="false">COUNTIF(Timeline!F5:F19,"Selesai")&amp;" / "&amp;COUNTA(Timeline!A5:A19)</f>
        <v>0 / 15</v>
      </c>
    </row>
    <row r="19" customFormat="false" ht="15" hidden="false" customHeight="false" outlineLevel="0" collapsed="false">
      <c r="A19" s="8" t="s">
        <v>24</v>
      </c>
      <c r="B19" s="10" t="n">
        <f aca="false">COUNTIF('Checklist Dosen'!D5:D50,"Selesai")/COUNTA('Checklist Dosen'!B5:B50)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M5" activePane="bottomRight" state="frozen"/>
      <selection pane="topLeft" activeCell="A1" activeCellId="0" sqref="A1"/>
      <selection pane="topRight" activeCell="M1" activeCellId="0" sqref="M1"/>
      <selection pane="bottomLeft" activeCell="A5" activeCellId="0" sqref="A5"/>
      <selection pane="bottomRight" activeCell="N5" activeCellId="0" sqref="N5"/>
    </sheetView>
  </sheetViews>
  <sheetFormatPr defaultColWidth="8.714843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6"/>
    <col collapsed="false" customWidth="true" hidden="false" outlineLevel="0" max="4" min="4" style="0" width="13"/>
    <col collapsed="false" customWidth="true" hidden="false" outlineLevel="0" max="5" min="5" style="0" width="28"/>
    <col collapsed="false" customWidth="true" hidden="false" outlineLevel="0" max="6" min="6" style="0" width="34"/>
    <col collapsed="false" customWidth="true" hidden="false" outlineLevel="0" max="7" min="7" style="0" width="16"/>
    <col collapsed="false" customWidth="true" hidden="false" outlineLevel="0" max="8" min="8" style="0" width="14"/>
    <col collapsed="false" customWidth="true" hidden="false" outlineLevel="0" max="9" min="9" style="0" width="26"/>
    <col collapsed="false" customWidth="true" hidden="false" outlineLevel="0" max="10" min="10" style="0" width="44"/>
    <col collapsed="false" customWidth="true" hidden="false" outlineLevel="0" max="11" min="11" style="0" width="52"/>
    <col collapsed="false" customWidth="true" hidden="false" outlineLevel="0" max="12" min="12" style="0" width="34"/>
    <col collapsed="false" customWidth="true" hidden="false" outlineLevel="0" max="13" min="13" style="0" width="18"/>
    <col collapsed="false" customWidth="true" hidden="false" outlineLevel="0" max="14" min="14" style="0" width="10"/>
  </cols>
  <sheetData>
    <row r="1" customFormat="false" ht="18" hidden="false" customHeight="true" outlineLevel="0" collapsed="false">
      <c r="A1" s="11" t="s">
        <v>25</v>
      </c>
    </row>
    <row r="2" customFormat="false" ht="42" hidden="false" customHeight="true" outlineLevel="0" collapsed="false">
      <c r="A2" s="12" t="s">
        <v>26</v>
      </c>
      <c r="B2" s="12"/>
      <c r="C2" s="12"/>
      <c r="D2" s="12"/>
      <c r="E2" s="12"/>
      <c r="F2" s="12"/>
      <c r="G2" s="12"/>
      <c r="H2" s="12"/>
      <c r="I2" s="12"/>
      <c r="J2" s="12"/>
      <c r="K2" s="12"/>
      <c r="L2" s="12"/>
      <c r="M2" s="12"/>
    </row>
    <row r="4" customFormat="false" ht="31.5" hidden="false" customHeight="true" outlineLevel="0" collapsed="false">
      <c r="A4" s="13" t="s">
        <v>27</v>
      </c>
      <c r="B4" s="13" t="s">
        <v>28</v>
      </c>
      <c r="C4" s="13" t="s">
        <v>29</v>
      </c>
      <c r="D4" s="13" t="s">
        <v>30</v>
      </c>
      <c r="E4" s="13" t="s">
        <v>31</v>
      </c>
      <c r="F4" s="13" t="s">
        <v>32</v>
      </c>
      <c r="G4" s="13" t="s">
        <v>33</v>
      </c>
      <c r="H4" s="13" t="s">
        <v>34</v>
      </c>
      <c r="I4" s="13" t="s">
        <v>35</v>
      </c>
      <c r="J4" s="13" t="s">
        <v>36</v>
      </c>
      <c r="K4" s="13" t="s">
        <v>37</v>
      </c>
      <c r="L4" s="13" t="s">
        <v>38</v>
      </c>
      <c r="M4" s="13" t="s">
        <v>39</v>
      </c>
      <c r="N4" s="13" t="s">
        <v>40</v>
      </c>
    </row>
    <row r="5" customFormat="false" ht="51" hidden="false" customHeight="true" outlineLevel="0" collapsed="false">
      <c r="A5" s="14" t="n">
        <v>1</v>
      </c>
      <c r="B5" s="15" t="s">
        <v>41</v>
      </c>
      <c r="C5" s="15" t="s">
        <v>42</v>
      </c>
      <c r="D5" s="14" t="s">
        <v>43</v>
      </c>
      <c r="E5" s="15" t="s">
        <v>44</v>
      </c>
      <c r="F5" s="15" t="s">
        <v>45</v>
      </c>
      <c r="G5" s="15" t="s">
        <v>46</v>
      </c>
      <c r="H5" s="15" t="s">
        <v>47</v>
      </c>
      <c r="I5" s="15" t="s">
        <v>48</v>
      </c>
      <c r="J5" s="15" t="s">
        <v>49</v>
      </c>
      <c r="K5" s="15" t="s">
        <v>50</v>
      </c>
      <c r="L5" s="15" t="s">
        <v>51</v>
      </c>
      <c r="M5" s="16"/>
      <c r="N5" s="14" t="s">
        <v>52</v>
      </c>
    </row>
    <row r="6" customFormat="false" ht="63.75" hidden="false" customHeight="true" outlineLevel="0" collapsed="false">
      <c r="A6" s="14" t="n">
        <v>2</v>
      </c>
      <c r="B6" s="15" t="s">
        <v>53</v>
      </c>
      <c r="C6" s="15" t="s">
        <v>54</v>
      </c>
      <c r="D6" s="14" t="s">
        <v>43</v>
      </c>
      <c r="E6" s="15" t="s">
        <v>55</v>
      </c>
      <c r="F6" s="15" t="s">
        <v>56</v>
      </c>
      <c r="G6" s="15" t="s">
        <v>57</v>
      </c>
      <c r="H6" s="15" t="s">
        <v>47</v>
      </c>
      <c r="I6" s="15" t="s">
        <v>58</v>
      </c>
      <c r="J6" s="15" t="s">
        <v>59</v>
      </c>
      <c r="K6" s="15" t="s">
        <v>60</v>
      </c>
      <c r="L6" s="15" t="s">
        <v>61</v>
      </c>
      <c r="M6" s="16"/>
      <c r="N6" s="14" t="s">
        <v>52</v>
      </c>
    </row>
    <row r="7" customFormat="false" ht="76.5" hidden="false" customHeight="true" outlineLevel="0" collapsed="false">
      <c r="A7" s="14" t="n">
        <v>3</v>
      </c>
      <c r="B7" s="15" t="s">
        <v>62</v>
      </c>
      <c r="C7" s="15" t="s">
        <v>63</v>
      </c>
      <c r="D7" s="14" t="s">
        <v>43</v>
      </c>
      <c r="E7" s="15" t="s">
        <v>64</v>
      </c>
      <c r="F7" s="15" t="s">
        <v>65</v>
      </c>
      <c r="G7" s="15" t="s">
        <v>66</v>
      </c>
      <c r="H7" s="15" t="s">
        <v>67</v>
      </c>
      <c r="I7" s="15" t="s">
        <v>68</v>
      </c>
      <c r="J7" s="15" t="s">
        <v>69</v>
      </c>
      <c r="K7" s="15" t="s">
        <v>70</v>
      </c>
      <c r="L7" s="15" t="s">
        <v>71</v>
      </c>
      <c r="M7" s="16"/>
      <c r="N7" s="14" t="s">
        <v>52</v>
      </c>
    </row>
    <row r="8" customFormat="false" ht="51" hidden="false" customHeight="true" outlineLevel="0" collapsed="false">
      <c r="A8" s="14" t="n">
        <v>4</v>
      </c>
      <c r="B8" s="15" t="s">
        <v>72</v>
      </c>
      <c r="C8" s="15" t="s">
        <v>73</v>
      </c>
      <c r="D8" s="14" t="s">
        <v>43</v>
      </c>
      <c r="E8" s="15" t="s">
        <v>74</v>
      </c>
      <c r="F8" s="15" t="s">
        <v>75</v>
      </c>
      <c r="G8" s="15" t="s">
        <v>66</v>
      </c>
      <c r="H8" s="15" t="s">
        <v>76</v>
      </c>
      <c r="I8" s="15" t="s">
        <v>77</v>
      </c>
      <c r="J8" s="15" t="s">
        <v>78</v>
      </c>
      <c r="K8" s="15" t="s">
        <v>79</v>
      </c>
      <c r="L8" s="15" t="s">
        <v>80</v>
      </c>
      <c r="M8" s="16"/>
      <c r="N8" s="14" t="s">
        <v>52</v>
      </c>
    </row>
    <row r="9" customFormat="false" ht="63.75" hidden="false" customHeight="true" outlineLevel="0" collapsed="false">
      <c r="A9" s="14" t="n">
        <v>5</v>
      </c>
      <c r="B9" s="15" t="s">
        <v>81</v>
      </c>
      <c r="C9" s="15" t="s">
        <v>82</v>
      </c>
      <c r="D9" s="14" t="s">
        <v>43</v>
      </c>
      <c r="E9" s="15" t="s">
        <v>83</v>
      </c>
      <c r="F9" s="15" t="s">
        <v>84</v>
      </c>
      <c r="G9" s="15" t="s">
        <v>85</v>
      </c>
      <c r="H9" s="15" t="s">
        <v>86</v>
      </c>
      <c r="I9" s="15" t="s">
        <v>87</v>
      </c>
      <c r="J9" s="15" t="s">
        <v>88</v>
      </c>
      <c r="K9" s="15" t="s">
        <v>89</v>
      </c>
      <c r="L9" s="15" t="s">
        <v>90</v>
      </c>
      <c r="M9" s="16"/>
      <c r="N9" s="14" t="s">
        <v>52</v>
      </c>
    </row>
    <row r="10" customFormat="false" ht="76.5" hidden="false" customHeight="true" outlineLevel="0" collapsed="false">
      <c r="A10" s="14" t="n">
        <v>6</v>
      </c>
      <c r="B10" s="15" t="s">
        <v>91</v>
      </c>
      <c r="C10" s="15" t="s">
        <v>92</v>
      </c>
      <c r="D10" s="14" t="s">
        <v>43</v>
      </c>
      <c r="E10" s="15" t="s">
        <v>93</v>
      </c>
      <c r="F10" s="15" t="s">
        <v>94</v>
      </c>
      <c r="G10" s="15" t="s">
        <v>85</v>
      </c>
      <c r="H10" s="15" t="s">
        <v>86</v>
      </c>
      <c r="I10" s="15" t="s">
        <v>95</v>
      </c>
      <c r="J10" s="15" t="s">
        <v>96</v>
      </c>
      <c r="K10" s="15" t="s">
        <v>97</v>
      </c>
      <c r="L10" s="15" t="s">
        <v>98</v>
      </c>
      <c r="M10" s="16"/>
      <c r="N10" s="14" t="s">
        <v>52</v>
      </c>
    </row>
    <row r="11" customFormat="false" ht="76.5" hidden="false" customHeight="true" outlineLevel="0" collapsed="false">
      <c r="A11" s="14" t="n">
        <v>7</v>
      </c>
      <c r="B11" s="15" t="s">
        <v>99</v>
      </c>
      <c r="C11" s="15" t="s">
        <v>100</v>
      </c>
      <c r="D11" s="14" t="s">
        <v>43</v>
      </c>
      <c r="E11" s="15" t="s">
        <v>101</v>
      </c>
      <c r="F11" s="15" t="s">
        <v>102</v>
      </c>
      <c r="G11" s="15" t="s">
        <v>103</v>
      </c>
      <c r="H11" s="15" t="s">
        <v>104</v>
      </c>
      <c r="I11" s="15" t="s">
        <v>105</v>
      </c>
      <c r="J11" s="15" t="s">
        <v>106</v>
      </c>
      <c r="K11" s="15" t="s">
        <v>107</v>
      </c>
      <c r="L11" s="15" t="s">
        <v>108</v>
      </c>
      <c r="M11" s="16"/>
      <c r="N11" s="14" t="s">
        <v>52</v>
      </c>
    </row>
    <row r="12" customFormat="false" ht="51" hidden="false" customHeight="true" outlineLevel="0" collapsed="false">
      <c r="A12" s="14" t="n">
        <v>8</v>
      </c>
      <c r="B12" s="15" t="s">
        <v>109</v>
      </c>
      <c r="C12" s="15" t="s">
        <v>110</v>
      </c>
      <c r="D12" s="14" t="s">
        <v>43</v>
      </c>
      <c r="E12" s="15" t="s">
        <v>111</v>
      </c>
      <c r="F12" s="15" t="s">
        <v>112</v>
      </c>
      <c r="G12" s="15" t="s">
        <v>103</v>
      </c>
      <c r="H12" s="15" t="s">
        <v>104</v>
      </c>
      <c r="I12" s="15" t="s">
        <v>113</v>
      </c>
      <c r="J12" s="15" t="s">
        <v>114</v>
      </c>
      <c r="K12" s="15" t="s">
        <v>115</v>
      </c>
      <c r="L12" s="15" t="s">
        <v>116</v>
      </c>
      <c r="M12" s="16"/>
      <c r="N12" s="14" t="s">
        <v>52</v>
      </c>
    </row>
    <row r="13" customFormat="false" ht="51" hidden="false" customHeight="true" outlineLevel="0" collapsed="false">
      <c r="A13" s="14" t="n">
        <v>9</v>
      </c>
      <c r="B13" s="15" t="s">
        <v>117</v>
      </c>
      <c r="C13" s="15" t="s">
        <v>118</v>
      </c>
      <c r="D13" s="14" t="s">
        <v>43</v>
      </c>
      <c r="E13" s="15" t="s">
        <v>119</v>
      </c>
      <c r="F13" s="15" t="s">
        <v>120</v>
      </c>
      <c r="G13" s="15" t="s">
        <v>121</v>
      </c>
      <c r="H13" s="15" t="s">
        <v>122</v>
      </c>
      <c r="I13" s="15" t="s">
        <v>123</v>
      </c>
      <c r="J13" s="15" t="s">
        <v>124</v>
      </c>
      <c r="K13" s="15" t="s">
        <v>125</v>
      </c>
      <c r="L13" s="15" t="s">
        <v>126</v>
      </c>
      <c r="M13" s="16"/>
      <c r="N13" s="14" t="s">
        <v>52</v>
      </c>
    </row>
    <row r="14" customFormat="false" ht="51" hidden="false" customHeight="true" outlineLevel="0" collapsed="false">
      <c r="A14" s="14" t="n">
        <v>10</v>
      </c>
      <c r="B14" s="15" t="s">
        <v>117</v>
      </c>
      <c r="C14" s="15" t="s">
        <v>127</v>
      </c>
      <c r="D14" s="14" t="s">
        <v>128</v>
      </c>
      <c r="E14" s="15" t="s">
        <v>129</v>
      </c>
      <c r="F14" s="15" t="s">
        <v>130</v>
      </c>
      <c r="G14" s="15" t="s">
        <v>131</v>
      </c>
      <c r="H14" s="15" t="s">
        <v>132</v>
      </c>
      <c r="I14" s="15" t="s">
        <v>133</v>
      </c>
      <c r="J14" s="15" t="s">
        <v>134</v>
      </c>
      <c r="K14" s="15" t="s">
        <v>135</v>
      </c>
      <c r="L14" s="15" t="s">
        <v>136</v>
      </c>
      <c r="M14" s="16"/>
      <c r="N14" s="14" t="s">
        <v>52</v>
      </c>
    </row>
    <row r="15" customFormat="false" ht="63.75" hidden="false" customHeight="true" outlineLevel="0" collapsed="false">
      <c r="A15" s="14" t="n">
        <v>11</v>
      </c>
      <c r="B15" s="15" t="s">
        <v>137</v>
      </c>
      <c r="C15" s="15" t="s">
        <v>138</v>
      </c>
      <c r="D15" s="14" t="s">
        <v>43</v>
      </c>
      <c r="E15" s="15" t="s">
        <v>139</v>
      </c>
      <c r="F15" s="15" t="s">
        <v>140</v>
      </c>
      <c r="G15" s="15" t="s">
        <v>141</v>
      </c>
      <c r="H15" s="15" t="s">
        <v>142</v>
      </c>
      <c r="I15" s="15" t="s">
        <v>143</v>
      </c>
      <c r="J15" s="15" t="s">
        <v>144</v>
      </c>
      <c r="K15" s="15" t="s">
        <v>145</v>
      </c>
      <c r="L15" s="15" t="s">
        <v>146</v>
      </c>
      <c r="M15" s="16"/>
      <c r="N15" s="14" t="s">
        <v>52</v>
      </c>
    </row>
  </sheetData>
  <mergeCells count="1">
    <mergeCell ref="A2:M2"/>
  </mergeCells>
  <conditionalFormatting sqref="N5:N15">
    <cfRule type="cellIs" priority="2" operator="equal" aboveAverage="0" equalAverage="0" bottom="0" percent="0" rank="0" text="" dxfId="0">
      <formula>"Selesai"</formula>
    </cfRule>
    <cfRule type="cellIs" priority="3" operator="equal" aboveAverage="0" equalAverage="0" bottom="0" percent="0" rank="0" text="" dxfId="1">
      <formula>"Proses"</formula>
    </cfRule>
    <cfRule type="cellIs" priority="4" operator="equal" aboveAverage="0" equalAverage="0" bottom="0" percent="0" rank="0" text="" dxfId="2">
      <formula>"Belum"</formula>
    </cfRule>
  </conditionalFormatting>
  <dataValidations count="1">
    <dataValidation allowBlank="false" errorStyle="stop" operator="between" showDropDown="false" showErrorMessage="false" showInputMessage="false" sqref="N5:N15" type="list">
      <formula1>"Belum,Proses,Selesai"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19" activePane="bottomRight" state="frozen"/>
      <selection pane="topLeft" activeCell="A1" activeCellId="0" sqref="A1"/>
      <selection pane="topRight" activeCell="D1" activeCellId="0" sqref="D1"/>
      <selection pane="bottomLeft" activeCell="A19" activeCellId="0" sqref="A19"/>
      <selection pane="bottomRight" activeCell="C20" activeCellId="0" sqref="C20"/>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4"/>
    <col collapsed="false" customWidth="true" hidden="false" outlineLevel="0" max="4" min="4" style="0" width="11"/>
    <col collapsed="false" customWidth="true" hidden="false" outlineLevel="0" max="5" min="5" style="0" width="16"/>
    <col collapsed="false" customWidth="true" hidden="false" outlineLevel="0" max="6" min="6" style="0" width="12"/>
    <col collapsed="false" customWidth="true" hidden="false" outlineLevel="0" max="7" min="7" style="0" width="11"/>
    <col collapsed="false" customWidth="true" hidden="false" outlineLevel="0" max="9" min="8" style="0" width="34"/>
    <col collapsed="false" customWidth="true" hidden="false" outlineLevel="0" max="10" min="10" style="0" width="24"/>
    <col collapsed="false" customWidth="true" hidden="false" outlineLevel="0" max="11" min="11" style="0" width="28"/>
    <col collapsed="false" customWidth="true" hidden="false" outlineLevel="0" max="12" min="12" style="0" width="10"/>
    <col collapsed="false" customWidth="true" hidden="false" outlineLevel="0" max="13" min="13" style="0" width="13"/>
    <col collapsed="false" customWidth="true" hidden="false" outlineLevel="0" max="14" min="14" style="0" width="11"/>
    <col collapsed="false" customWidth="true" hidden="false" outlineLevel="0" max="15" min="15" style="0" width="10"/>
    <col collapsed="false" customWidth="true" hidden="false" outlineLevel="0" max="16" min="16" style="0" width="26"/>
    <col collapsed="false" customWidth="true" hidden="false" outlineLevel="0" max="17" min="17" style="0" width="40"/>
    <col collapsed="false" customWidth="true" hidden="false" outlineLevel="0" max="18" min="18" style="0" width="16"/>
    <col collapsed="false" customWidth="true" hidden="false" outlineLevel="0" max="19" min="19" style="0" width="10"/>
    <col collapsed="false" customWidth="true" hidden="false" outlineLevel="0" max="20" min="20" style="0" width="48"/>
    <col collapsed="false" customWidth="true" hidden="false" outlineLevel="0" max="21" min="21" style="0" width="40"/>
  </cols>
  <sheetData>
    <row r="1" customFormat="false" ht="18" hidden="false" customHeight="true" outlineLevel="0" collapsed="false">
      <c r="A1" s="11" t="s">
        <v>147</v>
      </c>
    </row>
    <row r="2" customFormat="false" ht="42" hidden="false" customHeight="true" outlineLevel="0" collapsed="false">
      <c r="A2" s="12" t="s">
        <v>148</v>
      </c>
      <c r="B2" s="12"/>
      <c r="C2" s="12"/>
      <c r="D2" s="12"/>
      <c r="E2" s="12"/>
      <c r="F2" s="12"/>
      <c r="G2" s="12"/>
      <c r="H2" s="12"/>
      <c r="I2" s="12"/>
      <c r="J2" s="12"/>
      <c r="K2" s="12"/>
      <c r="L2" s="12"/>
      <c r="M2" s="12"/>
      <c r="N2" s="12"/>
      <c r="O2" s="12"/>
      <c r="P2" s="12"/>
      <c r="Q2" s="12"/>
      <c r="R2" s="12"/>
      <c r="S2" s="12"/>
      <c r="T2" s="12"/>
      <c r="U2" s="12"/>
    </row>
    <row r="3" customFormat="false" ht="31.5" hidden="false" customHeight="true" outlineLevel="0" collapsed="false">
      <c r="A3" s="13" t="s">
        <v>149</v>
      </c>
      <c r="B3" s="13" t="s">
        <v>150</v>
      </c>
      <c r="C3" s="13" t="s">
        <v>151</v>
      </c>
      <c r="D3" s="13" t="s">
        <v>152</v>
      </c>
      <c r="E3" s="13" t="s">
        <v>153</v>
      </c>
      <c r="F3" s="13" t="s">
        <v>154</v>
      </c>
      <c r="G3" s="13" t="s">
        <v>155</v>
      </c>
      <c r="H3" s="13" t="s">
        <v>156</v>
      </c>
      <c r="I3" s="13" t="s">
        <v>157</v>
      </c>
      <c r="J3" s="13" t="s">
        <v>158</v>
      </c>
      <c r="K3" s="13" t="s">
        <v>159</v>
      </c>
      <c r="L3" s="13" t="s">
        <v>160</v>
      </c>
      <c r="M3" s="13" t="s">
        <v>161</v>
      </c>
      <c r="N3" s="13" t="s">
        <v>162</v>
      </c>
      <c r="O3" s="13" t="s">
        <v>163</v>
      </c>
      <c r="P3" s="13" t="s">
        <v>164</v>
      </c>
      <c r="Q3" s="13" t="s">
        <v>165</v>
      </c>
      <c r="R3" s="13" t="s">
        <v>166</v>
      </c>
      <c r="S3" s="13" t="s">
        <v>40</v>
      </c>
      <c r="T3" s="13" t="s">
        <v>167</v>
      </c>
      <c r="U3" s="13" t="s">
        <v>168</v>
      </c>
    </row>
    <row r="4" customFormat="false" ht="25.5" hidden="false" customHeight="true" outlineLevel="0" collapsed="false">
      <c r="A4" s="17" t="s">
        <v>169</v>
      </c>
      <c r="B4" s="18" t="s">
        <v>103</v>
      </c>
      <c r="C4" s="18" t="s">
        <v>170</v>
      </c>
      <c r="D4" s="17" t="s">
        <v>171</v>
      </c>
      <c r="E4" s="18" t="s">
        <v>172</v>
      </c>
      <c r="F4" s="18" t="s">
        <v>173</v>
      </c>
      <c r="G4" s="18" t="s">
        <v>174</v>
      </c>
      <c r="H4" s="18" t="s">
        <v>175</v>
      </c>
      <c r="I4" s="18" t="s">
        <v>176</v>
      </c>
      <c r="J4" s="18" t="s">
        <v>177</v>
      </c>
      <c r="K4" s="18" t="s">
        <v>178</v>
      </c>
      <c r="L4" s="17" t="s">
        <v>179</v>
      </c>
      <c r="M4" s="17" t="s">
        <v>180</v>
      </c>
      <c r="N4" s="17" t="s">
        <v>181</v>
      </c>
      <c r="O4" s="18" t="s">
        <v>182</v>
      </c>
      <c r="P4" s="18" t="s">
        <v>183</v>
      </c>
      <c r="Q4" s="18" t="s">
        <v>184</v>
      </c>
      <c r="R4" s="18" t="s">
        <v>185</v>
      </c>
      <c r="S4" s="17" t="s">
        <v>141</v>
      </c>
      <c r="T4" s="18" t="s">
        <v>186</v>
      </c>
      <c r="U4" s="18" t="s">
        <v>187</v>
      </c>
    </row>
    <row r="5" customFormat="false" ht="50.25" hidden="false" customHeight="true" outlineLevel="0" collapsed="false">
      <c r="A5" s="14" t="s">
        <v>188</v>
      </c>
      <c r="B5" s="15" t="s">
        <v>189</v>
      </c>
      <c r="C5" s="15" t="s">
        <v>190</v>
      </c>
      <c r="D5" s="14" t="s">
        <v>191</v>
      </c>
      <c r="E5" s="15" t="s">
        <v>192</v>
      </c>
      <c r="F5" s="15" t="s">
        <v>173</v>
      </c>
      <c r="G5" s="15" t="s">
        <v>174</v>
      </c>
      <c r="H5" s="15" t="s">
        <v>193</v>
      </c>
      <c r="I5" s="19" t="s">
        <v>194</v>
      </c>
      <c r="J5" s="15" t="s">
        <v>195</v>
      </c>
      <c r="K5" s="16" t="s">
        <v>196</v>
      </c>
      <c r="L5" s="20" t="s">
        <v>197</v>
      </c>
      <c r="M5" s="21" t="s">
        <v>198</v>
      </c>
      <c r="N5" s="22" t="n">
        <v>0.715277777777778</v>
      </c>
      <c r="O5" s="15" t="s">
        <v>199</v>
      </c>
      <c r="P5" s="15" t="s">
        <v>200</v>
      </c>
      <c r="Q5" s="15" t="s">
        <v>201</v>
      </c>
      <c r="R5" s="15" t="s">
        <v>202</v>
      </c>
      <c r="S5" s="14" t="s">
        <v>203</v>
      </c>
      <c r="T5" s="4" t="str">
        <f aca="false">IF(OR(I5="",K5="",L5="",M5=""),"","Badan Pusat Statistik, """&amp;I5&amp;","" BPS, "&amp;L5&amp;". [Online]. Available: "&amp;K5&amp;". Accessed: "&amp;TEXT(M5,"mmm. d, yyyy")&amp;".")</f>
        <v>Badan Pusat Statistik, "Persentase Penduduk Miskin (P0) Menurut Kabupaten/Kota Jawa Timur (Persen) ," BPS, 2010-2025. [Online]. Available: https://www.bps.go.id/id/statistics-table/2/NjIxIzI=/persentase-penduduk-miskin-menurut-kabupaten-kota.html. Accessed: 2 okt 2026.</v>
      </c>
      <c r="U5" s="15" t="s">
        <v>204</v>
      </c>
    </row>
    <row r="6" customFormat="false" ht="76.5" hidden="false" customHeight="true" outlineLevel="0" collapsed="false">
      <c r="A6" s="14" t="s">
        <v>205</v>
      </c>
      <c r="B6" s="15" t="s">
        <v>189</v>
      </c>
      <c r="C6" s="15" t="s">
        <v>206</v>
      </c>
      <c r="D6" s="14" t="s">
        <v>191</v>
      </c>
      <c r="E6" s="15" t="s">
        <v>207</v>
      </c>
      <c r="F6" s="15" t="s">
        <v>173</v>
      </c>
      <c r="G6" s="15" t="s">
        <v>208</v>
      </c>
      <c r="H6" s="15" t="s">
        <v>209</v>
      </c>
      <c r="I6" s="16" t="s">
        <v>210</v>
      </c>
      <c r="J6" s="23" t="s">
        <v>195</v>
      </c>
      <c r="K6" s="16" t="s">
        <v>211</v>
      </c>
      <c r="L6" s="20" t="s">
        <v>197</v>
      </c>
      <c r="M6" s="21" t="s">
        <v>198</v>
      </c>
      <c r="N6" s="22" t="n">
        <v>0.729166666666667</v>
      </c>
      <c r="O6" s="15" t="s">
        <v>199</v>
      </c>
      <c r="P6" s="15" t="s">
        <v>212</v>
      </c>
      <c r="Q6" s="15" t="s">
        <v>213</v>
      </c>
      <c r="R6" s="15" t="s">
        <v>202</v>
      </c>
      <c r="S6" s="14" t="s">
        <v>203</v>
      </c>
      <c r="T6" s="4" t="str">
        <f aca="false">IF(OR(I6="",K6="",L6="",M6=""),"","Badan Pusat Statistik, """&amp;I6&amp;","" BPS, "&amp;L6&amp;". [Online]. Available: "&amp;K6&amp;". Accessed: "&amp;TEXT(M6,"mmm. d, yyyy")&amp;".")</f>
        <v>Badan Pusat Statistik, "[Metode Baru] Pengeluaran per Kapita Disesuaikan (Ribu Rupiah/Orang/Tahun)," BPS, 2010-2025. [Online]. Available: https://www.bps.go.id/id/statistics-table/2/NDE2IzI=/-metode-baru--pengeluaran-per-kapita-disesuaikan.html. Accessed: 2 okt 2026.</v>
      </c>
      <c r="U6" s="15" t="s">
        <v>214</v>
      </c>
    </row>
    <row r="7" customFormat="false" ht="51" hidden="false" customHeight="true" outlineLevel="0" collapsed="false">
      <c r="A7" s="14" t="s">
        <v>215</v>
      </c>
      <c r="B7" s="15" t="s">
        <v>121</v>
      </c>
      <c r="C7" s="15" t="s">
        <v>216</v>
      </c>
      <c r="D7" s="14" t="s">
        <v>217</v>
      </c>
      <c r="E7" s="15" t="s">
        <v>172</v>
      </c>
      <c r="F7" s="15" t="s">
        <v>173</v>
      </c>
      <c r="G7" s="15" t="s">
        <v>174</v>
      </c>
      <c r="H7" s="15" t="s">
        <v>218</v>
      </c>
      <c r="I7" s="16" t="s">
        <v>219</v>
      </c>
      <c r="J7" s="15" t="s">
        <v>177</v>
      </c>
      <c r="K7" s="16" t="s">
        <v>196</v>
      </c>
      <c r="L7" s="20" t="s">
        <v>197</v>
      </c>
      <c r="M7" s="21" t="s">
        <v>198</v>
      </c>
      <c r="N7" s="22" t="n">
        <v>0.743055555555556</v>
      </c>
      <c r="O7" s="15" t="s">
        <v>182</v>
      </c>
      <c r="P7" s="15" t="s">
        <v>220</v>
      </c>
      <c r="Q7" s="15" t="s">
        <v>221</v>
      </c>
      <c r="R7" s="15" t="s">
        <v>185</v>
      </c>
      <c r="S7" s="14" t="s">
        <v>203</v>
      </c>
      <c r="T7" s="4" t="str">
        <f aca="false">IF(OR(I7="",K7="",L7="",M7=""),"","Badan Pusat Statistik, """&amp;I7&amp;","" BPS, "&amp;L7&amp;". [Online]. Available: "&amp;K7&amp;". Accessed: "&amp;TEXT(M7,"mmm. d, yyyy")&amp;".")</f>
        <v>Badan Pusat Statistik, "Persentase Penduduk Miskin (P0) Menurut Kabupaten/Kota (Persen)," BPS, 2010-2025. [Online]. Available: https://www.bps.go.id/id/statistics-table/2/NjIxIzI=/persentase-penduduk-miskin-menurut-kabupaten-kota.html. Accessed: 2 okt 2026.</v>
      </c>
      <c r="U7" s="15" t="s">
        <v>222</v>
      </c>
    </row>
    <row r="8" customFormat="false" ht="51" hidden="false" customHeight="true" outlineLevel="0" collapsed="false">
      <c r="A8" s="14" t="s">
        <v>223</v>
      </c>
      <c r="B8" s="15" t="s">
        <v>66</v>
      </c>
      <c r="C8" s="15" t="s">
        <v>224</v>
      </c>
      <c r="D8" s="14" t="s">
        <v>225</v>
      </c>
      <c r="E8" s="15" t="s">
        <v>172</v>
      </c>
      <c r="F8" s="15" t="s">
        <v>173</v>
      </c>
      <c r="G8" s="15" t="s">
        <v>226</v>
      </c>
      <c r="H8" s="15" t="s">
        <v>227</v>
      </c>
      <c r="I8" s="16" t="s">
        <v>228</v>
      </c>
      <c r="J8" s="15" t="s">
        <v>177</v>
      </c>
      <c r="K8" s="16" t="s">
        <v>229</v>
      </c>
      <c r="L8" s="20" t="s">
        <v>197</v>
      </c>
      <c r="M8" s="21" t="s">
        <v>198</v>
      </c>
      <c r="N8" s="22" t="n">
        <v>0.756944444444444</v>
      </c>
      <c r="O8" s="15" t="s">
        <v>182</v>
      </c>
      <c r="P8" s="15" t="s">
        <v>230</v>
      </c>
      <c r="Q8" s="15" t="s">
        <v>221</v>
      </c>
      <c r="R8" s="15" t="s">
        <v>185</v>
      </c>
      <c r="S8" s="14" t="s">
        <v>203</v>
      </c>
      <c r="T8" s="4" t="str">
        <f aca="false">IF(OR(I8="",K8="",L8="",M8=""),"","Badan Pusat Statistik, """&amp;I8&amp;","" BPS, "&amp;L8&amp;". [Online]. Available: "&amp;K8&amp;". Accessed: "&amp;TEXT(M8,"mmm. d, yyyy")&amp;".")</f>
        <v>Badan Pusat Statistik, "Jumlah Penduduk Miskin menurut Kabupaten/Kota di Jawa Timur (Ribu Jiwa)," BPS, 2010-2025. [Online]. Available: https://jatim.bps.go.id/id/statistics-table/2/NDIxIzI=/jumlah-penduduk-miskin-menurut-kabupaten-kota-di-jawa-timur.html. Accessed: 2 okt 2026.</v>
      </c>
      <c r="U8" s="15" t="s">
        <v>231</v>
      </c>
    </row>
    <row r="9" customFormat="false" ht="76.5" hidden="false" customHeight="true" outlineLevel="0" collapsed="false">
      <c r="A9" s="14" t="s">
        <v>232</v>
      </c>
      <c r="B9" s="15" t="s">
        <v>121</v>
      </c>
      <c r="C9" s="15" t="s">
        <v>233</v>
      </c>
      <c r="D9" s="14" t="s">
        <v>234</v>
      </c>
      <c r="E9" s="15" t="s">
        <v>172</v>
      </c>
      <c r="F9" s="15" t="s">
        <v>173</v>
      </c>
      <c r="G9" s="15" t="s">
        <v>208</v>
      </c>
      <c r="H9" s="23" t="s">
        <v>235</v>
      </c>
      <c r="I9" s="16" t="s">
        <v>210</v>
      </c>
      <c r="J9" s="15" t="s">
        <v>177</v>
      </c>
      <c r="K9" s="16" t="s">
        <v>211</v>
      </c>
      <c r="L9" s="20" t="s">
        <v>197</v>
      </c>
      <c r="M9" s="21" t="s">
        <v>198</v>
      </c>
      <c r="N9" s="22" t="n">
        <v>0.774305555555556</v>
      </c>
      <c r="O9" s="15" t="s">
        <v>182</v>
      </c>
      <c r="P9" s="15" t="s">
        <v>236</v>
      </c>
      <c r="Q9" s="15" t="s">
        <v>221</v>
      </c>
      <c r="R9" s="15" t="s">
        <v>185</v>
      </c>
      <c r="S9" s="14" t="s">
        <v>203</v>
      </c>
      <c r="T9" s="4" t="str">
        <f aca="false">IF(OR(I9="",K9="",L9="",M9=""),"","Badan Pusat Statistik, """&amp;I9&amp;","" BPS, "&amp;L9&amp;". [Online]. Available: "&amp;K9&amp;". Accessed: "&amp;TEXT(M9,"mmm. d, yyyy")&amp;".")</f>
        <v>Badan Pusat Statistik, "[Metode Baru] Pengeluaran per Kapita Disesuaikan (Ribu Rupiah/Orang/Tahun)," BPS, 2010-2025. [Online]. Available: https://www.bps.go.id/id/statistics-table/2/NDE2IzI=/-metode-baru--pengeluaran-per-kapita-disesuaikan.html. Accessed: 2 okt 2026.</v>
      </c>
      <c r="U9" s="15" t="s">
        <v>237</v>
      </c>
    </row>
    <row r="10" customFormat="false" ht="89.25" hidden="false" customHeight="true" outlineLevel="0" collapsed="false">
      <c r="A10" s="14" t="s">
        <v>238</v>
      </c>
      <c r="B10" s="15" t="s">
        <v>103</v>
      </c>
      <c r="C10" s="15" t="s">
        <v>239</v>
      </c>
      <c r="D10" s="14" t="s">
        <v>240</v>
      </c>
      <c r="E10" s="15" t="s">
        <v>172</v>
      </c>
      <c r="F10" s="15" t="s">
        <v>173</v>
      </c>
      <c r="G10" s="15" t="s">
        <v>241</v>
      </c>
      <c r="H10" s="23" t="s">
        <v>242</v>
      </c>
      <c r="I10" s="16" t="s">
        <v>243</v>
      </c>
      <c r="J10" s="15" t="s">
        <v>177</v>
      </c>
      <c r="K10" s="16" t="s">
        <v>244</v>
      </c>
      <c r="L10" s="20" t="s">
        <v>197</v>
      </c>
      <c r="M10" s="21" t="s">
        <v>198</v>
      </c>
      <c r="N10" s="22" t="n">
        <v>0.789583333333333</v>
      </c>
      <c r="O10" s="15" t="s">
        <v>182</v>
      </c>
      <c r="P10" s="15" t="s">
        <v>245</v>
      </c>
      <c r="Q10" s="15" t="s">
        <v>221</v>
      </c>
      <c r="R10" s="15" t="s">
        <v>185</v>
      </c>
      <c r="S10" s="14" t="s">
        <v>203</v>
      </c>
      <c r="T10" s="4" t="str">
        <f aca="false">IF(OR(I10="",K10="",L10="",M10=""),"","Badan Pusat Statistik, """&amp;I10&amp;","" BPS, "&amp;L10&amp;". [Online]. Available: "&amp;K10&amp;". Accessed: "&amp;TEXT(M10,"mmm. d, yyyy")&amp;".")</f>
        <v>Badan Pusat Statistik, "Indeks Pembangunan Manusia Menurut Kabupaten/Kota di Provinsi Jawa Timur," BPS, 2010-2025. [Online]. Available: https://probolinggokab.bps.go.id/id/statistics-table/2/MjczIzI=/indeks-pembangunan-manusia-menurut-kabupaten-kota-di-provinsi-jawa-timur.html. Accessed: 2 okt 2026.</v>
      </c>
      <c r="U10" s="15" t="s">
        <v>246</v>
      </c>
    </row>
    <row r="11" customFormat="false" ht="51" hidden="false" customHeight="true" outlineLevel="0" collapsed="false">
      <c r="A11" s="14" t="s">
        <v>247</v>
      </c>
      <c r="B11" s="15" t="s">
        <v>103</v>
      </c>
      <c r="C11" s="15" t="s">
        <v>248</v>
      </c>
      <c r="D11" s="14" t="s">
        <v>249</v>
      </c>
      <c r="E11" s="15" t="s">
        <v>172</v>
      </c>
      <c r="F11" s="15" t="s">
        <v>173</v>
      </c>
      <c r="G11" s="15" t="s">
        <v>202</v>
      </c>
      <c r="H11" s="15" t="s">
        <v>250</v>
      </c>
      <c r="I11" s="19" t="s">
        <v>251</v>
      </c>
      <c r="J11" s="15" t="s">
        <v>177</v>
      </c>
      <c r="K11" s="16" t="s">
        <v>252</v>
      </c>
      <c r="L11" s="20" t="s">
        <v>197</v>
      </c>
      <c r="M11" s="21" t="s">
        <v>198</v>
      </c>
      <c r="N11" s="22" t="n">
        <v>0.799305555555556</v>
      </c>
      <c r="O11" s="15" t="s">
        <v>182</v>
      </c>
      <c r="P11" s="15" t="s">
        <v>253</v>
      </c>
      <c r="Q11" s="15" t="s">
        <v>221</v>
      </c>
      <c r="R11" s="15" t="s">
        <v>185</v>
      </c>
      <c r="S11" s="14" t="s">
        <v>203</v>
      </c>
      <c r="T11" s="4" t="str">
        <f aca="false">IF(OR(I11="",K11="",L11="",M11=""),"","Badan Pusat Statistik, """&amp;I11&amp;","" BPS, "&amp;L11&amp;". [Online]. Available: "&amp;K11&amp;". Accessed: "&amp;TEXT(M11,"mmm. d, yyyy")&amp;".")</f>
        <v>Badan Pusat Statistik, "Rata-Rata Lama Sekolah Penduduk Menurut Kabupaten/Kota (Tahun)," BPS, 2010-2025. [Online]. Available: https://jatim.bps.go.id/id/statistics-table/2/MzIjMg==/rata-rata-lama-sekolah-penduduk-usia-25-tahun-ke-atas-menurut-kabupaten-kota.html. Accessed: 2 okt 2026.</v>
      </c>
      <c r="U11" s="15"/>
    </row>
    <row r="12" customFormat="false" ht="63.75" hidden="false" customHeight="true" outlineLevel="0" collapsed="false">
      <c r="A12" s="14" t="s">
        <v>254</v>
      </c>
      <c r="B12" s="15" t="s">
        <v>103</v>
      </c>
      <c r="C12" s="15" t="s">
        <v>255</v>
      </c>
      <c r="D12" s="14" t="s">
        <v>249</v>
      </c>
      <c r="E12" s="15" t="s">
        <v>172</v>
      </c>
      <c r="F12" s="15" t="s">
        <v>173</v>
      </c>
      <c r="G12" s="15" t="s">
        <v>202</v>
      </c>
      <c r="H12" s="15" t="s">
        <v>256</v>
      </c>
      <c r="I12" s="19" t="s">
        <v>257</v>
      </c>
      <c r="J12" s="15" t="s">
        <v>177</v>
      </c>
      <c r="K12" s="16" t="s">
        <v>258</v>
      </c>
      <c r="L12" s="20" t="s">
        <v>197</v>
      </c>
      <c r="M12" s="21" t="s">
        <v>198</v>
      </c>
      <c r="N12" s="22" t="n">
        <v>0.80625</v>
      </c>
      <c r="O12" s="15" t="s">
        <v>182</v>
      </c>
      <c r="P12" s="15" t="s">
        <v>259</v>
      </c>
      <c r="Q12" s="15" t="s">
        <v>221</v>
      </c>
      <c r="R12" s="15" t="s">
        <v>185</v>
      </c>
      <c r="S12" s="14" t="s">
        <v>203</v>
      </c>
      <c r="T12" s="4" t="str">
        <f aca="false">IF(OR(I12="",K12="",L12="",M12=""),"","Badan Pusat Statistik, """&amp;I12&amp;","" BPS, "&amp;L12&amp;". [Online]. Available: "&amp;K12&amp;". Accessed: "&amp;TEXT(M12,"mmm. d, yyyy")&amp;".")</f>
        <v>Badan Pusat Statistik, "Harapan Lama Sekolah (Tahun)," BPS, 2010-2025. [Online]. Available: https://jatim.bps.go.id/id/statistics-table/2/NDY4IzI=/harapan-lama-sekolah.html. Accessed: 2 okt 2026.</v>
      </c>
      <c r="U12" s="15"/>
    </row>
    <row r="13" customFormat="false" ht="89.25" hidden="false" customHeight="true" outlineLevel="0" collapsed="false">
      <c r="A13" s="14" t="s">
        <v>260</v>
      </c>
      <c r="B13" s="15" t="s">
        <v>103</v>
      </c>
      <c r="C13" s="15" t="s">
        <v>261</v>
      </c>
      <c r="D13" s="14" t="s">
        <v>249</v>
      </c>
      <c r="E13" s="15" t="s">
        <v>172</v>
      </c>
      <c r="F13" s="15" t="s">
        <v>173</v>
      </c>
      <c r="G13" s="15" t="s">
        <v>202</v>
      </c>
      <c r="H13" s="15" t="s">
        <v>262</v>
      </c>
      <c r="I13" s="19" t="s">
        <v>263</v>
      </c>
      <c r="J13" s="15" t="s">
        <v>177</v>
      </c>
      <c r="K13" s="16" t="s">
        <v>264</v>
      </c>
      <c r="L13" s="20" t="s">
        <v>197</v>
      </c>
      <c r="M13" s="21" t="s">
        <v>198</v>
      </c>
      <c r="N13" s="22" t="n">
        <v>0.813194444444444</v>
      </c>
      <c r="O13" s="15" t="s">
        <v>182</v>
      </c>
      <c r="P13" s="15" t="s">
        <v>265</v>
      </c>
      <c r="Q13" s="15" t="s">
        <v>221</v>
      </c>
      <c r="R13" s="15" t="s">
        <v>185</v>
      </c>
      <c r="S13" s="14" t="s">
        <v>203</v>
      </c>
      <c r="T13" s="4" t="str">
        <f aca="false">IF(OR(I13="",K13="",L13="",M13=""),"","Badan Pusat Statistik, """&amp;I13&amp;","" BPS, "&amp;L13&amp;". [Online]. Available: "&amp;K13&amp;". Accessed: "&amp;TEXT(M13,"mmm. d, yyyy")&amp;".")</f>
        <v>Badan Pusat Statistik, "Angka Harapan Hidup Menurut Kabupaten/Kota di Provinsi Jawa Timur (Tahun)," BPS, 2010-2025. [Online]. Available: https://ngawikab.bps.go.id/id/statistics-table/2/NDcxIzI=/life-expectancy-by-regencies-municipalities-in-jawa-timur-province.html. Accessed: 2 okt 2026.</v>
      </c>
      <c r="U13" s="15" t="s">
        <v>266</v>
      </c>
    </row>
    <row r="14" customFormat="false" ht="76.5" hidden="false" customHeight="true" outlineLevel="0" collapsed="false">
      <c r="A14" s="14" t="s">
        <v>267</v>
      </c>
      <c r="B14" s="15" t="s">
        <v>103</v>
      </c>
      <c r="C14" s="15" t="s">
        <v>268</v>
      </c>
      <c r="D14" s="14" t="s">
        <v>249</v>
      </c>
      <c r="E14" s="15" t="s">
        <v>172</v>
      </c>
      <c r="F14" s="15" t="s">
        <v>173</v>
      </c>
      <c r="G14" s="15" t="s">
        <v>174</v>
      </c>
      <c r="H14" s="15" t="s">
        <v>269</v>
      </c>
      <c r="I14" s="19" t="s">
        <v>270</v>
      </c>
      <c r="J14" s="15" t="s">
        <v>177</v>
      </c>
      <c r="K14" s="16" t="s">
        <v>271</v>
      </c>
      <c r="L14" s="20" t="s">
        <v>197</v>
      </c>
      <c r="M14" s="21" t="s">
        <v>198</v>
      </c>
      <c r="N14" s="22" t="n">
        <v>0.821527777777778</v>
      </c>
      <c r="O14" s="15" t="s">
        <v>182</v>
      </c>
      <c r="P14" s="15" t="s">
        <v>272</v>
      </c>
      <c r="Q14" s="15" t="s">
        <v>221</v>
      </c>
      <c r="R14" s="15" t="s">
        <v>185</v>
      </c>
      <c r="S14" s="14" t="s">
        <v>203</v>
      </c>
      <c r="T14" s="4" t="str">
        <f aca="false">IF(OR(I14="",K14="",L14="",M14=""),"","Badan Pusat Statistik, """&amp;I14&amp;","" BPS, "&amp;L14&amp;". [Online]. Available: "&amp;K14&amp;". Accessed: "&amp;TEXT(M14,"mmm. d, yyyy")&amp;".")</f>
        <v>Badan Pusat Statistik, "Tingkat Pengangguran Terbuka (TPT) Menurut Kabupaten/Kota (Persen)," BPS, 2010-2025. [Online]. Available: https://jatim.bps.go.id/id/statistics-table/2/NTQjMg==/tingkat-pengangguran-terbuka-tpt-provinsi-jawa-timur.html. Accessed: 2 okt 2026.</v>
      </c>
      <c r="U14" s="15" t="s">
        <v>273</v>
      </c>
    </row>
    <row r="15" customFormat="false" ht="76.5" hidden="false" customHeight="true" outlineLevel="0" collapsed="false">
      <c r="A15" s="14" t="s">
        <v>274</v>
      </c>
      <c r="B15" s="15" t="s">
        <v>121</v>
      </c>
      <c r="C15" s="15" t="s">
        <v>275</v>
      </c>
      <c r="D15" s="14" t="s">
        <v>234</v>
      </c>
      <c r="E15" s="15" t="s">
        <v>172</v>
      </c>
      <c r="F15" s="15" t="s">
        <v>173</v>
      </c>
      <c r="G15" s="23" t="s">
        <v>276</v>
      </c>
      <c r="H15" s="15" t="s">
        <v>277</v>
      </c>
      <c r="I15" s="19" t="s">
        <v>278</v>
      </c>
      <c r="J15" s="15" t="s">
        <v>177</v>
      </c>
      <c r="K15" s="16" t="s">
        <v>279</v>
      </c>
      <c r="L15" s="20" t="s">
        <v>197</v>
      </c>
      <c r="M15" s="21" t="s">
        <v>198</v>
      </c>
      <c r="N15" s="22" t="n">
        <v>0.972916666666667</v>
      </c>
      <c r="O15" s="15" t="s">
        <v>182</v>
      </c>
      <c r="P15" s="15" t="s">
        <v>280</v>
      </c>
      <c r="Q15" s="15" t="s">
        <v>221</v>
      </c>
      <c r="R15" s="15" t="s">
        <v>185</v>
      </c>
      <c r="S15" s="14" t="s">
        <v>203</v>
      </c>
      <c r="T15" s="4" t="str">
        <f aca="false">IF(OR(I15="",K15="",L15="",M15=""),"","Badan Pusat Statistik, """&amp;I15&amp;","" BPS, "&amp;L15&amp;". [Online]. Available: "&amp;K15&amp;". Accessed: "&amp;TEXT(M15,"mmm. d, yyyy")&amp;".")</f>
        <v>Badan Pusat Statistik, "[Seri 2010] PDRB Perkapita Atas Dasar Harga Berlaku Menurut Kabupaten/Kota (Ribu Rupiah)," BPS, 2010-2025. [Online]. Available: https://jatim.bps.go.id/id/statistics-table/2/MzI3IzI=/pdrb-perkapita-adhb.html. Accessed: 2 okt 2026.</v>
      </c>
      <c r="U15" s="15" t="s">
        <v>281</v>
      </c>
    </row>
    <row r="16" customFormat="false" ht="127.5" hidden="false" customHeight="true" outlineLevel="0" collapsed="false">
      <c r="A16" s="14" t="s">
        <v>282</v>
      </c>
      <c r="B16" s="15" t="s">
        <v>103</v>
      </c>
      <c r="C16" s="15" t="s">
        <v>283</v>
      </c>
      <c r="D16" s="14" t="s">
        <v>284</v>
      </c>
      <c r="E16" s="15" t="s">
        <v>172</v>
      </c>
      <c r="F16" s="15" t="s">
        <v>285</v>
      </c>
      <c r="G16" s="15" t="s">
        <v>174</v>
      </c>
      <c r="H16" s="15" t="s">
        <v>286</v>
      </c>
      <c r="I16" s="19" t="s">
        <v>287</v>
      </c>
      <c r="J16" s="15" t="s">
        <v>177</v>
      </c>
      <c r="K16" s="16" t="s">
        <v>288</v>
      </c>
      <c r="L16" s="20" t="s">
        <v>289</v>
      </c>
      <c r="M16" s="21" t="s">
        <v>198</v>
      </c>
      <c r="N16" s="22" t="n">
        <v>0.982638888888889</v>
      </c>
      <c r="O16" s="15" t="s">
        <v>182</v>
      </c>
      <c r="P16" s="15" t="s">
        <v>290</v>
      </c>
      <c r="Q16" s="15" t="s">
        <v>221</v>
      </c>
      <c r="R16" s="15" t="s">
        <v>185</v>
      </c>
      <c r="S16" s="14" t="s">
        <v>203</v>
      </c>
      <c r="T16" s="4" t="str">
        <f aca="false">IF(OR(I16="",K16="",L16="",M16=""),"","Badan Pusat Statistik, """&amp;I16&amp;","" BPS, "&amp;L16&amp;". [Online]. Available: "&amp;K16&amp;". Accessed: "&amp;TEXT(M16,"mmm. d, yyyy")&amp;".")</f>
        <v>Badan Pusat Statistik, "Laju Pertumbuhan Produk Domestik Regional Bruto Atas Dasar Harga Konstan 2010  Menurut Kabupaten/Kota di Provinsi Jawa Timur (persen)," BPS, 2011-2025. [Online]. Available: https://jatim.bps.go.id/id/statistics-table/3/WnpCcmNtcE1ibkF5VjFSelJHMUVhRE52WjNWSVp6MDkjMw==/laju-pertumbuhan-produk-domestik-regional-bruto-atas-dasar-harga-konstan-2010-menurut-kabupaten-kota-di-provinsi-jawa-timur--persen---2023.html. Accessed: 2 okt 2026.</v>
      </c>
      <c r="U16" s="15" t="s">
        <v>291</v>
      </c>
    </row>
    <row r="17" customFormat="false" ht="51" hidden="false" customHeight="true" outlineLevel="0" collapsed="false">
      <c r="A17" s="14" t="s">
        <v>292</v>
      </c>
      <c r="B17" s="15" t="s">
        <v>121</v>
      </c>
      <c r="C17" s="15" t="s">
        <v>293</v>
      </c>
      <c r="D17" s="14" t="s">
        <v>294</v>
      </c>
      <c r="E17" s="15" t="s">
        <v>172</v>
      </c>
      <c r="F17" s="15" t="s">
        <v>173</v>
      </c>
      <c r="G17" s="15" t="s">
        <v>295</v>
      </c>
      <c r="H17" s="15" t="s">
        <v>296</v>
      </c>
      <c r="I17" s="23" t="s">
        <v>297</v>
      </c>
      <c r="J17" s="15" t="s">
        <v>177</v>
      </c>
      <c r="K17" s="16" t="s">
        <v>298</v>
      </c>
      <c r="L17" s="20" t="s">
        <v>197</v>
      </c>
      <c r="M17" s="21" t="s">
        <v>299</v>
      </c>
      <c r="N17" s="22" t="n">
        <v>0.00347222222222222</v>
      </c>
      <c r="O17" s="15" t="s">
        <v>182</v>
      </c>
      <c r="P17" s="15" t="s">
        <v>300</v>
      </c>
      <c r="Q17" s="15" t="s">
        <v>221</v>
      </c>
      <c r="R17" s="15" t="s">
        <v>185</v>
      </c>
      <c r="S17" s="14" t="s">
        <v>203</v>
      </c>
      <c r="T17" s="4" t="str">
        <f aca="false">IF(OR(I17="",K17="",L17="",M17=""),"","Badan Pusat Statistik, """&amp;I17&amp;","" BPS, "&amp;L17&amp;". [Online]. Available: "&amp;K17&amp;". Accessed: "&amp;TEXT(M17,"mmm. d, yyyy")&amp;".")</f>
        <v>Badan Pusat Statistik, "Jumlah Penduduk Menurut Jenis Kelamin dan Kabupaten/Kota Provinsi Jawa Timur (Jiwa)," BPS, 2010-2025. [Online]. Available: https://mojokertokota.bps.go.id/id/statistics-table/2/MTQ0IzI=/jumlah-penduduk-menurut-jenis-kelamin-dan-kabupaten-kota-provinsi-jawa-timur.html. Accessed: 3 okt 2026.</v>
      </c>
      <c r="U17" s="15" t="s">
        <v>301</v>
      </c>
    </row>
    <row r="18" customFormat="false" ht="114.75" hidden="false" customHeight="true" outlineLevel="0" collapsed="false">
      <c r="A18" s="14" t="s">
        <v>302</v>
      </c>
      <c r="B18" s="15" t="s">
        <v>103</v>
      </c>
      <c r="C18" s="15" t="s">
        <v>303</v>
      </c>
      <c r="D18" s="14" t="s">
        <v>249</v>
      </c>
      <c r="E18" s="15" t="s">
        <v>172</v>
      </c>
      <c r="F18" s="15" t="s">
        <v>173</v>
      </c>
      <c r="G18" s="15" t="s">
        <v>304</v>
      </c>
      <c r="H18" s="23" t="s">
        <v>305</v>
      </c>
      <c r="I18" s="19" t="s">
        <v>306</v>
      </c>
      <c r="J18" s="15" t="s">
        <v>177</v>
      </c>
      <c r="K18" s="24" t="s">
        <v>307</v>
      </c>
      <c r="L18" s="20" t="s">
        <v>197</v>
      </c>
      <c r="M18" s="21" t="s">
        <v>299</v>
      </c>
      <c r="N18" s="22" t="n">
        <v>0.0243055555555556</v>
      </c>
      <c r="O18" s="15" t="s">
        <v>182</v>
      </c>
      <c r="P18" s="15" t="s">
        <v>308</v>
      </c>
      <c r="Q18" s="15" t="s">
        <v>309</v>
      </c>
      <c r="R18" s="15" t="s">
        <v>185</v>
      </c>
      <c r="S18" s="14" t="s">
        <v>203</v>
      </c>
      <c r="T18" s="4" t="str">
        <f aca="false">IF(OR(I18="",K18="",L18="",M18=""),"","Badan Pusat Statistik, """&amp;I18&amp;","" BPS, "&amp;L18&amp;". [Online]. Available: "&amp;K18&amp;". Accessed: "&amp;TEXT(M18,"mmm. d, yyyy")&amp;".")</f>
        <v>Badan Pusat Statistik, "Penduduk, Laju Pertumbuhan Penduduk, Distribusi Persentase
Penduduk, Kepadatan Penduduk, Rasio Jenis Kelamin Penduduk
Menurut Kabupaten/Kota di Provinsi Jawa Timur," BPS, 2010-2025. [Online]. Available: https://jatim.bps.go.id/id/publication/2025/02/28/5ae8b994b1bebd8cbc2e0781/provinsi-jawa-timur-dalam-angka-2025.html. Accessed: 3 okt 2026.</v>
      </c>
      <c r="U18" s="15" t="s">
        <v>310</v>
      </c>
    </row>
    <row r="19" customFormat="false" ht="76.5" hidden="false" customHeight="true" outlineLevel="0" collapsed="false">
      <c r="A19" s="14" t="s">
        <v>311</v>
      </c>
      <c r="B19" s="15" t="s">
        <v>312</v>
      </c>
      <c r="C19" s="23" t="s">
        <v>313</v>
      </c>
      <c r="D19" s="14" t="s">
        <v>249</v>
      </c>
      <c r="E19" s="15" t="s">
        <v>172</v>
      </c>
      <c r="F19" s="15" t="s">
        <v>173</v>
      </c>
      <c r="G19" s="15" t="s">
        <v>241</v>
      </c>
      <c r="H19" s="15" t="s">
        <v>314</v>
      </c>
      <c r="I19" s="19" t="s">
        <v>313</v>
      </c>
      <c r="J19" s="15" t="s">
        <v>177</v>
      </c>
      <c r="K19" s="16" t="s">
        <v>315</v>
      </c>
      <c r="L19" s="20" t="s">
        <v>197</v>
      </c>
      <c r="M19" s="21" t="s">
        <v>299</v>
      </c>
      <c r="N19" s="22" t="n">
        <v>0.0493055555555556</v>
      </c>
      <c r="O19" s="15" t="s">
        <v>182</v>
      </c>
      <c r="P19" s="15" t="s">
        <v>316</v>
      </c>
      <c r="Q19" s="15" t="s">
        <v>221</v>
      </c>
      <c r="R19" s="15" t="s">
        <v>185</v>
      </c>
      <c r="S19" s="14" t="s">
        <v>203</v>
      </c>
      <c r="T19" s="4" t="str">
        <f aca="false">IF(OR(I19="",K19="",L19="",M19=""),"","Badan Pusat Statistik, """&amp;I19&amp;","" BPS, "&amp;L19&amp;". [Online]. Available: "&amp;K19&amp;". Accessed: "&amp;TEXT(M19,"mmm. d, yyyy")&amp;".")</f>
        <v>Badan Pusat Statistik, "Gini Rasio Menurut Kabupaten/Kota di Jawa Timur," BPS, 2010-2025. [Online]. Available: https://malangkota.bps.go.id/id/statistics-table/2/NjUjMg==/gini-rasio-menurut-kabupaten-kota-di-jawa-timur.html. Accessed: 3 okt 2026.</v>
      </c>
      <c r="U19" s="15" t="s">
        <v>317</v>
      </c>
    </row>
    <row r="20" customFormat="false" ht="89.25" hidden="false" customHeight="true" outlineLevel="0" collapsed="false">
      <c r="A20" s="14" t="s">
        <v>318</v>
      </c>
      <c r="B20" s="15" t="s">
        <v>85</v>
      </c>
      <c r="C20" s="15" t="s">
        <v>319</v>
      </c>
      <c r="D20" s="14" t="s">
        <v>320</v>
      </c>
      <c r="E20" s="15" t="s">
        <v>321</v>
      </c>
      <c r="F20" s="15" t="s">
        <v>322</v>
      </c>
      <c r="G20" s="15" t="s">
        <v>323</v>
      </c>
      <c r="H20" s="15" t="s">
        <v>324</v>
      </c>
      <c r="I20" s="15" t="s">
        <v>325</v>
      </c>
      <c r="J20" s="15" t="s">
        <v>326</v>
      </c>
      <c r="K20" s="16" t="s">
        <v>327</v>
      </c>
      <c r="L20" s="20" t="s">
        <v>328</v>
      </c>
      <c r="M20" s="21" t="s">
        <v>299</v>
      </c>
      <c r="N20" s="22" t="n">
        <v>0.0909722222222222</v>
      </c>
      <c r="O20" s="15" t="s">
        <v>329</v>
      </c>
      <c r="P20" s="15" t="s">
        <v>330</v>
      </c>
      <c r="Q20" s="15" t="s">
        <v>331</v>
      </c>
      <c r="R20" s="15" t="s">
        <v>332</v>
      </c>
      <c r="S20" s="14" t="s">
        <v>203</v>
      </c>
      <c r="T20" s="4" t="str">
        <f aca="false">IF(OR(I20="",K20="",L20="",M20=""),"","Badan Pusat Statistik, """&amp;I20&amp;","" BPS, "&amp;L20&amp;". [Online]. Available: "&amp;K20&amp;". Accessed: "&amp;TEXT(M20,"mmm. d, yyyy")&amp;".")</f>
        <v>Badan Pusat Statistik, "Produk Domestik Regional Bruto Kabupaten/Kota di Provinsi Jawa Timur Menurut Lapangan Usaha 2020–2024," BPS, 2020-2024. [Online]. Available: https://jatim.bps.go.id/id/publication/2025/04/11/59f89f59ea26afed7ff1c599/produk-domestik-regional-bruto-kabupaten-kota-di-provinsi-jawa-timur-menurut-lapangan-usaha-2020-2024.html. Accessed: 3 okt 2026.</v>
      </c>
      <c r="U20" s="15" t="s">
        <v>333</v>
      </c>
    </row>
    <row r="21" customFormat="false" ht="89.25" hidden="false" customHeight="true" outlineLevel="0" collapsed="false">
      <c r="A21" s="14" t="s">
        <v>334</v>
      </c>
      <c r="B21" s="15" t="s">
        <v>85</v>
      </c>
      <c r="C21" s="15" t="s">
        <v>335</v>
      </c>
      <c r="D21" s="14" t="s">
        <v>320</v>
      </c>
      <c r="E21" s="15" t="s">
        <v>321</v>
      </c>
      <c r="F21" s="15" t="s">
        <v>322</v>
      </c>
      <c r="G21" s="15" t="s">
        <v>323</v>
      </c>
      <c r="H21" s="15" t="s">
        <v>336</v>
      </c>
      <c r="I21" s="15" t="s">
        <v>325</v>
      </c>
      <c r="J21" s="15" t="s">
        <v>177</v>
      </c>
      <c r="K21" s="16" t="s">
        <v>327</v>
      </c>
      <c r="L21" s="20" t="s">
        <v>328</v>
      </c>
      <c r="M21" s="21" t="s">
        <v>299</v>
      </c>
      <c r="N21" s="22" t="n">
        <v>0.104861111111111</v>
      </c>
      <c r="O21" s="15" t="s">
        <v>329</v>
      </c>
      <c r="P21" s="15" t="s">
        <v>330</v>
      </c>
      <c r="Q21" s="15" t="s">
        <v>331</v>
      </c>
      <c r="R21" s="15" t="s">
        <v>332</v>
      </c>
      <c r="S21" s="14" t="s">
        <v>203</v>
      </c>
      <c r="T21" s="4" t="str">
        <f aca="false">IF(OR(I21="",K21="",L21="",M21=""),"","Badan Pusat Statistik, """&amp;I21&amp;","" BPS, "&amp;L21&amp;". [Online]. Available: "&amp;K21&amp;". Accessed: "&amp;TEXT(M21,"mmm. d, yyyy")&amp;".")</f>
        <v>Badan Pusat Statistik, "Produk Domestik Regional Bruto Kabupaten/Kota di Provinsi Jawa Timur Menurut Lapangan Usaha 2020–2024," BPS, 2020-2024. [Online]. Available: https://jatim.bps.go.id/id/publication/2025/04/11/59f89f59ea26afed7ff1c599/produk-domestik-regional-bruto-kabupaten-kota-di-provinsi-jawa-timur-menurut-lapangan-usaha-2020-2024.html. Accessed: 3 okt 2026.</v>
      </c>
      <c r="U21" s="15" t="s">
        <v>337</v>
      </c>
    </row>
    <row r="22" customFormat="false" ht="180" hidden="false" customHeight="true" outlineLevel="0" collapsed="false">
      <c r="A22" s="14" t="s">
        <v>338</v>
      </c>
      <c r="B22" s="15" t="s">
        <v>339</v>
      </c>
      <c r="C22" s="15" t="s">
        <v>340</v>
      </c>
      <c r="D22" s="14" t="s">
        <v>341</v>
      </c>
      <c r="E22" s="15" t="s">
        <v>342</v>
      </c>
      <c r="F22" s="15" t="s">
        <v>343</v>
      </c>
      <c r="G22" s="15" t="s">
        <v>344</v>
      </c>
      <c r="H22" s="15" t="s">
        <v>345</v>
      </c>
      <c r="I22" s="19" t="s">
        <v>346</v>
      </c>
      <c r="J22" s="23" t="s">
        <v>195</v>
      </c>
      <c r="K22" s="24" t="s">
        <v>347</v>
      </c>
      <c r="L22" s="20" t="s">
        <v>348</v>
      </c>
      <c r="M22" s="21" t="s">
        <v>299</v>
      </c>
      <c r="N22" s="22" t="n">
        <v>0.146527777777778</v>
      </c>
      <c r="O22" s="15" t="s">
        <v>182</v>
      </c>
      <c r="P22" s="15" t="s">
        <v>349</v>
      </c>
      <c r="Q22" s="15" t="s">
        <v>350</v>
      </c>
      <c r="R22" s="15" t="s">
        <v>202</v>
      </c>
      <c r="S22" s="14" t="s">
        <v>203</v>
      </c>
      <c r="T22" s="4" t="str">
        <f aca="false">IF(OR(I22="",K22="",L22="",M22=""),"","Badan Pusat Statistik, """&amp;I22&amp;","" BPS, "&amp;L22&amp;". [Online]. Available: "&amp;K22&amp;". Accessed: "&amp;TEXT(M22,"mmm. d, yyyy")&amp;".")</f>
        <v>Badan Pusat Statistik, "Rata-rata Pengeluaran per Kapita Sebulan Makanan dan Bukan Makanan di Daerah Perkotaan dan Perdesaan Menurut Kabupaten/Kota di Provinsi Jawa Timur (rupiah)," BPS, 2020-2025. [Online]. Available: https://jatim.bps.go.id/id/statistics-table/3/V1ZKMWVrSTNOek5ZZUZOcVZEZGFValJvV0hWalFUMDkjMw==/rata-rata-pengeluaran-per-kapita-sebulan-makanan-dan-bukan-makanan-di-daerah-perkotaan-dan-perdesaan-menurut-kabupaten-kota-di-provinsi-jawa-timur--rupiah---2023.html?year=2020 . Accessed: 3 okt 2026.</v>
      </c>
      <c r="U22" s="15" t="s">
        <v>351</v>
      </c>
    </row>
    <row r="23" customFormat="false" ht="89.25" hidden="false" customHeight="true" outlineLevel="0" collapsed="false">
      <c r="A23" s="14" t="s">
        <v>352</v>
      </c>
      <c r="B23" s="15" t="s">
        <v>339</v>
      </c>
      <c r="C23" s="15" t="s">
        <v>353</v>
      </c>
      <c r="D23" s="14" t="s">
        <v>341</v>
      </c>
      <c r="E23" s="15" t="s">
        <v>192</v>
      </c>
      <c r="F23" s="15" t="n">
        <v>2025</v>
      </c>
      <c r="G23" s="15" t="s">
        <v>174</v>
      </c>
      <c r="H23" s="15" t="s">
        <v>354</v>
      </c>
      <c r="I23" s="19" t="s">
        <v>355</v>
      </c>
      <c r="J23" s="15" t="s">
        <v>177</v>
      </c>
      <c r="K23" s="16" t="s">
        <v>356</v>
      </c>
      <c r="L23" s="20" t="n">
        <v>2025</v>
      </c>
      <c r="M23" s="21" t="s">
        <v>299</v>
      </c>
      <c r="N23" s="22" t="n">
        <v>0.152083333333333</v>
      </c>
      <c r="O23" s="15" t="s">
        <v>182</v>
      </c>
      <c r="P23" s="15" t="s">
        <v>357</v>
      </c>
      <c r="Q23" s="15" t="s">
        <v>358</v>
      </c>
      <c r="R23" s="15" t="s">
        <v>202</v>
      </c>
      <c r="S23" s="14" t="s">
        <v>203</v>
      </c>
      <c r="T23" s="4" t="str">
        <f aca="false">IF(OR(I23="",K23="",L23="",M23=""),"","Badan Pusat Statistik, """&amp;I23&amp;","" BPS, "&amp;L23&amp;". [Online]. Available: "&amp;K23&amp;". Accessed: "&amp;TEXT(M23,"mmm. d, yyyy")&amp;".")</f>
        <v>Badan Pusat Statistik, "Inflasi Tahunan / Year-on-Year (y-on-y) Menurut Kelompok dan Subkelompok Pengeluaran Provinsi Jawa Timur, 2025," BPS, 2025. [Online]. Available: https://jatim.bps.go.id/id/publication/2026/02/27/0f94ddcd7070fb35513c4456/indeks-harga-konsumen-provinsi-jawa-timur-2025.html. Accessed: 3 okt 2026.</v>
      </c>
      <c r="U23" s="15" t="s">
        <v>359</v>
      </c>
    </row>
    <row r="24" customFormat="false" ht="51" hidden="false" customHeight="true" outlineLevel="0" collapsed="false">
      <c r="A24" s="14" t="s">
        <v>360</v>
      </c>
      <c r="B24" s="15" t="s">
        <v>361</v>
      </c>
      <c r="C24" s="15" t="s">
        <v>362</v>
      </c>
      <c r="D24" s="14" t="s">
        <v>363</v>
      </c>
      <c r="E24" s="15" t="s">
        <v>364</v>
      </c>
      <c r="F24" s="15" t="s">
        <v>141</v>
      </c>
      <c r="G24" s="15" t="s">
        <v>141</v>
      </c>
      <c r="H24" s="15" t="s">
        <v>365</v>
      </c>
      <c r="I24" s="19" t="s">
        <v>366</v>
      </c>
      <c r="J24" s="15" t="s">
        <v>367</v>
      </c>
      <c r="K24" s="16" t="s">
        <v>368</v>
      </c>
      <c r="L24" s="20"/>
      <c r="M24" s="21" t="s">
        <v>299</v>
      </c>
      <c r="N24" s="22" t="n">
        <v>0.159722222222222</v>
      </c>
      <c r="O24" s="15" t="s">
        <v>369</v>
      </c>
      <c r="P24" s="15" t="s">
        <v>370</v>
      </c>
      <c r="Q24" s="15" t="s">
        <v>371</v>
      </c>
      <c r="R24" s="15" t="s">
        <v>185</v>
      </c>
      <c r="S24" s="14" t="s">
        <v>203</v>
      </c>
      <c r="T24" s="25" t="s">
        <v>372</v>
      </c>
      <c r="U24" s="15" t="s">
        <v>373</v>
      </c>
    </row>
    <row r="25" customFormat="false" ht="51" hidden="false" customHeight="true" outlineLevel="0" collapsed="false">
      <c r="A25" s="14" t="s">
        <v>374</v>
      </c>
      <c r="B25" s="15" t="s">
        <v>375</v>
      </c>
      <c r="C25" s="15" t="s">
        <v>376</v>
      </c>
      <c r="D25" s="14" t="s">
        <v>363</v>
      </c>
      <c r="E25" s="15" t="s">
        <v>377</v>
      </c>
      <c r="F25" s="15" t="s">
        <v>141</v>
      </c>
      <c r="G25" s="15" t="s">
        <v>141</v>
      </c>
      <c r="H25" s="15" t="s">
        <v>378</v>
      </c>
      <c r="I25" s="19" t="s">
        <v>379</v>
      </c>
      <c r="J25" s="15" t="s">
        <v>380</v>
      </c>
      <c r="K25" s="16" t="s">
        <v>381</v>
      </c>
      <c r="L25" s="20"/>
      <c r="M25" s="21" t="s">
        <v>299</v>
      </c>
      <c r="N25" s="22" t="n">
        <v>0.166666666666667</v>
      </c>
      <c r="O25" s="15" t="s">
        <v>199</v>
      </c>
      <c r="P25" s="15" t="s">
        <v>382</v>
      </c>
      <c r="Q25" s="15" t="s">
        <v>383</v>
      </c>
      <c r="R25" s="15" t="s">
        <v>185</v>
      </c>
      <c r="S25" s="14" t="s">
        <v>203</v>
      </c>
      <c r="T25" s="25" t="s">
        <v>384</v>
      </c>
      <c r="U25" s="15" t="s">
        <v>385</v>
      </c>
    </row>
    <row r="26" customFormat="false" ht="25.5" hidden="false" customHeight="true" outlineLevel="0" collapsed="false">
      <c r="A26" s="14" t="s">
        <v>386</v>
      </c>
      <c r="B26" s="15" t="s">
        <v>387</v>
      </c>
      <c r="C26" s="15" t="s">
        <v>388</v>
      </c>
      <c r="D26" s="14" t="s">
        <v>320</v>
      </c>
      <c r="E26" s="15" t="s">
        <v>389</v>
      </c>
      <c r="F26" s="15" t="s">
        <v>141</v>
      </c>
      <c r="G26" s="15" t="s">
        <v>141</v>
      </c>
      <c r="H26" s="15" t="s">
        <v>390</v>
      </c>
      <c r="I26" s="16" t="s">
        <v>391</v>
      </c>
      <c r="J26" s="15" t="s">
        <v>392</v>
      </c>
      <c r="K26" s="16"/>
      <c r="L26" s="26"/>
      <c r="M26" s="27"/>
      <c r="N26" s="22"/>
      <c r="O26" s="15" t="s">
        <v>393</v>
      </c>
      <c r="P26" s="15" t="s">
        <v>394</v>
      </c>
      <c r="Q26" s="15" t="s">
        <v>395</v>
      </c>
      <c r="R26" s="15" t="s">
        <v>396</v>
      </c>
      <c r="S26" s="14" t="s">
        <v>203</v>
      </c>
      <c r="T26" s="4" t="str">
        <f aca="false">IF(OR(I26="",K26="",L26="",M26=""),"","Badan Pusat Statistik, """&amp;I26&amp;","" BPS, "&amp;L26&amp;". [Online]. Available: "&amp;K26&amp;". Accessed: "&amp;TEXT(M26,"mmm. d, yyyy")&amp;".")</f>
        <v/>
      </c>
      <c r="U26" s="15" t="s">
        <v>397</v>
      </c>
    </row>
  </sheetData>
  <mergeCells count="1">
    <mergeCell ref="A2:U2"/>
  </mergeCells>
  <conditionalFormatting sqref="S5:S26">
    <cfRule type="cellIs" priority="2" operator="equal" aboveAverage="0" equalAverage="0" bottom="0" percent="0" rank="0" text="" dxfId="0">
      <formula>"Selesai"</formula>
    </cfRule>
    <cfRule type="cellIs" priority="3" operator="equal" aboveAverage="0" equalAverage="0" bottom="0" percent="0" rank="0" text="" dxfId="1">
      <formula>"Proses"</formula>
    </cfRule>
    <cfRule type="cellIs" priority="4" operator="equal" aboveAverage="0" equalAverage="0" bottom="0" percent="0" rank="0" text="" dxfId="2">
      <formula>"Belum"</formula>
    </cfRule>
  </conditionalFormatting>
  <dataValidations count="1">
    <dataValidation allowBlank="false" errorStyle="stop" operator="between" showDropDown="false" showErrorMessage="false" showInputMessage="false" sqref="S5:S26" type="list">
      <formula1>"Belum,Proses,Selesai"</formula1>
      <formula2>0</formula2>
    </dataValidation>
  </dataValidations>
  <hyperlinks>
    <hyperlink ref="K18" r:id="rId1" display="https://jatim.bps.go.id/id/publication/2025/02/28/5ae8b994b1bebd8cbc2e0781/provinsi-jawa-timur-dalam-angka-2025.html"/>
    <hyperlink ref="K22" r:id="rId2" display="https://jatim.bps.go.id/id/statistics-table/3/V1ZKMWVrSTNOek5ZZUZOcVZEZGFValJvV0hWalFUMDkjMw==/rata-rata-pengeluaran-per-kapita-sebulan-makanan-dan-bukan-makanan-di-daerah-perkotaan-dan-perdesaan-menurut-kabupaten-kota-di-provinsi-jawa-timur--rupiah---2023.html?year=2020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8"/>
    <col collapsed="false" customWidth="true" hidden="false" outlineLevel="0" max="2" min="2" style="0" width="95"/>
    <col collapsed="false" customWidth="true" hidden="false" outlineLevel="0" max="3" min="3" style="0" width="20"/>
    <col collapsed="false" customWidth="true" hidden="false" outlineLevel="0" max="4" min="4" style="0" width="10"/>
    <col collapsed="false" customWidth="true" hidden="false" outlineLevel="0" max="5" min="5" style="0" width="40"/>
  </cols>
  <sheetData>
    <row r="1" customFormat="false" ht="18" hidden="false" customHeight="true" outlineLevel="0" collapsed="false">
      <c r="A1" s="11" t="s">
        <v>398</v>
      </c>
    </row>
    <row r="2" customFormat="false" ht="42" hidden="false" customHeight="true" outlineLevel="0" collapsed="false">
      <c r="A2" s="12" t="s">
        <v>399</v>
      </c>
      <c r="B2" s="12"/>
      <c r="C2" s="12"/>
      <c r="D2" s="12"/>
      <c r="E2" s="12"/>
    </row>
    <row r="4" customFormat="false" ht="31.5" hidden="false" customHeight="true" outlineLevel="0" collapsed="false">
      <c r="A4" s="13" t="s">
        <v>150</v>
      </c>
      <c r="B4" s="13" t="s">
        <v>400</v>
      </c>
      <c r="C4" s="13" t="s">
        <v>401</v>
      </c>
      <c r="D4" s="13" t="s">
        <v>40</v>
      </c>
      <c r="E4" s="13" t="s">
        <v>402</v>
      </c>
    </row>
    <row r="5" customFormat="false" ht="25.5" hidden="false" customHeight="true" outlineLevel="0" collapsed="false">
      <c r="A5" s="15" t="s">
        <v>403</v>
      </c>
      <c r="B5" s="15" t="s">
        <v>404</v>
      </c>
      <c r="C5" s="15" t="s">
        <v>405</v>
      </c>
      <c r="D5" s="14" t="s">
        <v>52</v>
      </c>
      <c r="E5" s="16"/>
    </row>
    <row r="6" customFormat="false" ht="25.5" hidden="false" customHeight="true" outlineLevel="0" collapsed="false">
      <c r="A6" s="15" t="s">
        <v>403</v>
      </c>
      <c r="B6" s="15" t="s">
        <v>406</v>
      </c>
      <c r="C6" s="15" t="s">
        <v>405</v>
      </c>
      <c r="D6" s="14" t="s">
        <v>52</v>
      </c>
      <c r="E6" s="16"/>
    </row>
    <row r="7" customFormat="false" ht="15" hidden="false" customHeight="false" outlineLevel="0" collapsed="false">
      <c r="A7" s="15" t="s">
        <v>403</v>
      </c>
      <c r="B7" s="15" t="s">
        <v>407</v>
      </c>
      <c r="C7" s="15" t="s">
        <v>408</v>
      </c>
      <c r="D7" s="14" t="s">
        <v>52</v>
      </c>
      <c r="E7" s="16"/>
    </row>
    <row r="8" customFormat="false" ht="15" hidden="false" customHeight="false" outlineLevel="0" collapsed="false">
      <c r="A8" s="15" t="s">
        <v>409</v>
      </c>
      <c r="B8" s="15" t="s">
        <v>410</v>
      </c>
      <c r="C8" s="15" t="s">
        <v>411</v>
      </c>
      <c r="D8" s="14" t="s">
        <v>52</v>
      </c>
      <c r="E8" s="16"/>
    </row>
    <row r="9" customFormat="false" ht="15" hidden="false" customHeight="false" outlineLevel="0" collapsed="false">
      <c r="A9" s="15" t="s">
        <v>412</v>
      </c>
      <c r="B9" s="15" t="s">
        <v>413</v>
      </c>
      <c r="C9" s="15" t="s">
        <v>414</v>
      </c>
      <c r="D9" s="14" t="s">
        <v>52</v>
      </c>
      <c r="E9" s="16"/>
    </row>
    <row r="10" customFormat="false" ht="15" hidden="false" customHeight="false" outlineLevel="0" collapsed="false">
      <c r="A10" s="15" t="s">
        <v>412</v>
      </c>
      <c r="B10" s="15" t="s">
        <v>415</v>
      </c>
      <c r="C10" s="15" t="s">
        <v>416</v>
      </c>
      <c r="D10" s="14" t="s">
        <v>52</v>
      </c>
      <c r="E10" s="16"/>
    </row>
    <row r="11" customFormat="false" ht="15" hidden="false" customHeight="false" outlineLevel="0" collapsed="false">
      <c r="A11" s="15" t="s">
        <v>412</v>
      </c>
      <c r="B11" s="15" t="s">
        <v>417</v>
      </c>
      <c r="C11" s="15" t="s">
        <v>416</v>
      </c>
      <c r="D11" s="14" t="s">
        <v>52</v>
      </c>
      <c r="E11" s="16"/>
    </row>
    <row r="12" customFormat="false" ht="15" hidden="false" customHeight="false" outlineLevel="0" collapsed="false">
      <c r="A12" s="15" t="s">
        <v>412</v>
      </c>
      <c r="B12" s="15" t="s">
        <v>418</v>
      </c>
      <c r="C12" s="15" t="s">
        <v>419</v>
      </c>
      <c r="D12" s="14" t="s">
        <v>52</v>
      </c>
      <c r="E12" s="16"/>
    </row>
    <row r="13" customFormat="false" ht="25.5" hidden="false" customHeight="true" outlineLevel="0" collapsed="false">
      <c r="A13" s="15" t="s">
        <v>412</v>
      </c>
      <c r="B13" s="15" t="s">
        <v>420</v>
      </c>
      <c r="C13" s="15" t="s">
        <v>421</v>
      </c>
      <c r="D13" s="14" t="s">
        <v>52</v>
      </c>
      <c r="E13" s="16"/>
    </row>
    <row r="14" customFormat="false" ht="15" hidden="false" customHeight="false" outlineLevel="0" collapsed="false">
      <c r="A14" s="15" t="s">
        <v>422</v>
      </c>
      <c r="B14" s="15" t="s">
        <v>423</v>
      </c>
      <c r="C14" s="15" t="s">
        <v>424</v>
      </c>
      <c r="D14" s="14" t="s">
        <v>52</v>
      </c>
      <c r="E14" s="16"/>
    </row>
    <row r="15" customFormat="false" ht="15" hidden="false" customHeight="false" outlineLevel="0" collapsed="false">
      <c r="A15" s="15" t="s">
        <v>422</v>
      </c>
      <c r="B15" s="15" t="s">
        <v>425</v>
      </c>
      <c r="C15" s="15" t="s">
        <v>424</v>
      </c>
      <c r="D15" s="14" t="s">
        <v>52</v>
      </c>
      <c r="E15" s="16"/>
    </row>
    <row r="16" customFormat="false" ht="15" hidden="false" customHeight="false" outlineLevel="0" collapsed="false">
      <c r="A16" s="15" t="s">
        <v>422</v>
      </c>
      <c r="B16" s="15" t="s">
        <v>426</v>
      </c>
      <c r="C16" s="15" t="s">
        <v>427</v>
      </c>
      <c r="D16" s="14" t="s">
        <v>52</v>
      </c>
      <c r="E16" s="16"/>
    </row>
    <row r="17" customFormat="false" ht="15" hidden="false" customHeight="false" outlineLevel="0" collapsed="false">
      <c r="A17" s="15" t="s">
        <v>422</v>
      </c>
      <c r="B17" s="15" t="s">
        <v>428</v>
      </c>
      <c r="C17" s="15" t="s">
        <v>429</v>
      </c>
      <c r="D17" s="14" t="s">
        <v>52</v>
      </c>
      <c r="E17" s="16"/>
    </row>
    <row r="18" customFormat="false" ht="15" hidden="false" customHeight="false" outlineLevel="0" collapsed="false">
      <c r="A18" s="15" t="s">
        <v>430</v>
      </c>
      <c r="B18" s="15" t="s">
        <v>431</v>
      </c>
      <c r="C18" s="15" t="s">
        <v>432</v>
      </c>
      <c r="D18" s="14" t="s">
        <v>52</v>
      </c>
      <c r="E18" s="16"/>
    </row>
    <row r="19" customFormat="false" ht="15" hidden="false" customHeight="false" outlineLevel="0" collapsed="false">
      <c r="A19" s="15" t="s">
        <v>430</v>
      </c>
      <c r="B19" s="15" t="s">
        <v>433</v>
      </c>
      <c r="C19" s="15" t="s">
        <v>432</v>
      </c>
      <c r="D19" s="14" t="s">
        <v>52</v>
      </c>
      <c r="E19" s="16"/>
    </row>
    <row r="20" customFormat="false" ht="15" hidden="false" customHeight="false" outlineLevel="0" collapsed="false">
      <c r="A20" s="15" t="s">
        <v>430</v>
      </c>
      <c r="B20" s="15" t="s">
        <v>434</v>
      </c>
      <c r="C20" s="15" t="s">
        <v>432</v>
      </c>
      <c r="D20" s="14" t="s">
        <v>52</v>
      </c>
      <c r="E20" s="16"/>
    </row>
    <row r="21" customFormat="false" ht="15" hidden="false" customHeight="false" outlineLevel="0" collapsed="false">
      <c r="A21" s="15" t="s">
        <v>430</v>
      </c>
      <c r="B21" s="15" t="s">
        <v>435</v>
      </c>
      <c r="C21" s="15" t="s">
        <v>432</v>
      </c>
      <c r="D21" s="14" t="s">
        <v>52</v>
      </c>
      <c r="E21" s="16"/>
    </row>
    <row r="22" customFormat="false" ht="15" hidden="false" customHeight="false" outlineLevel="0" collapsed="false">
      <c r="A22" s="15" t="s">
        <v>430</v>
      </c>
      <c r="B22" s="15" t="s">
        <v>436</v>
      </c>
      <c r="C22" s="15" t="s">
        <v>432</v>
      </c>
      <c r="D22" s="14" t="s">
        <v>52</v>
      </c>
      <c r="E22" s="16"/>
    </row>
    <row r="23" customFormat="false" ht="15" hidden="false" customHeight="false" outlineLevel="0" collapsed="false">
      <c r="A23" s="15" t="s">
        <v>437</v>
      </c>
      <c r="B23" s="15" t="s">
        <v>438</v>
      </c>
      <c r="C23" s="15" t="s">
        <v>432</v>
      </c>
      <c r="D23" s="14" t="s">
        <v>52</v>
      </c>
      <c r="E23" s="16"/>
    </row>
    <row r="24" customFormat="false" ht="15" hidden="false" customHeight="false" outlineLevel="0" collapsed="false">
      <c r="A24" s="15" t="s">
        <v>437</v>
      </c>
      <c r="B24" s="15" t="s">
        <v>439</v>
      </c>
      <c r="C24" s="15" t="s">
        <v>432</v>
      </c>
      <c r="D24" s="14" t="s">
        <v>52</v>
      </c>
      <c r="E24" s="16"/>
    </row>
    <row r="25" customFormat="false" ht="15" hidden="false" customHeight="false" outlineLevel="0" collapsed="false">
      <c r="A25" s="15" t="s">
        <v>437</v>
      </c>
      <c r="B25" s="15" t="s">
        <v>440</v>
      </c>
      <c r="C25" s="15" t="s">
        <v>432</v>
      </c>
      <c r="D25" s="14" t="s">
        <v>52</v>
      </c>
      <c r="E25" s="16"/>
    </row>
    <row r="26" customFormat="false" ht="15" hidden="false" customHeight="false" outlineLevel="0" collapsed="false">
      <c r="A26" s="15" t="s">
        <v>437</v>
      </c>
      <c r="B26" s="15" t="s">
        <v>441</v>
      </c>
      <c r="C26" s="15" t="s">
        <v>432</v>
      </c>
      <c r="D26" s="14" t="s">
        <v>52</v>
      </c>
      <c r="E26" s="16"/>
    </row>
    <row r="27" customFormat="false" ht="15" hidden="false" customHeight="false" outlineLevel="0" collapsed="false">
      <c r="A27" s="15" t="s">
        <v>437</v>
      </c>
      <c r="B27" s="15" t="s">
        <v>442</v>
      </c>
      <c r="C27" s="15" t="s">
        <v>432</v>
      </c>
      <c r="D27" s="14" t="s">
        <v>52</v>
      </c>
      <c r="E27" s="16"/>
    </row>
    <row r="28" customFormat="false" ht="15" hidden="false" customHeight="false" outlineLevel="0" collapsed="false">
      <c r="A28" s="15" t="s">
        <v>443</v>
      </c>
      <c r="B28" s="15" t="s">
        <v>444</v>
      </c>
      <c r="C28" s="15" t="s">
        <v>432</v>
      </c>
      <c r="D28" s="14" t="s">
        <v>52</v>
      </c>
      <c r="E28" s="16"/>
    </row>
    <row r="29" customFormat="false" ht="15" hidden="false" customHeight="false" outlineLevel="0" collapsed="false">
      <c r="A29" s="15" t="s">
        <v>443</v>
      </c>
      <c r="B29" s="15" t="s">
        <v>445</v>
      </c>
      <c r="C29" s="15" t="s">
        <v>432</v>
      </c>
      <c r="D29" s="14" t="s">
        <v>52</v>
      </c>
      <c r="E29" s="16"/>
    </row>
    <row r="30" customFormat="false" ht="15" hidden="false" customHeight="false" outlineLevel="0" collapsed="false">
      <c r="A30" s="15" t="s">
        <v>443</v>
      </c>
      <c r="B30" s="15" t="s">
        <v>446</v>
      </c>
      <c r="C30" s="15" t="s">
        <v>432</v>
      </c>
      <c r="D30" s="14" t="s">
        <v>52</v>
      </c>
      <c r="E30" s="16"/>
    </row>
    <row r="31" customFormat="false" ht="15" hidden="false" customHeight="false" outlineLevel="0" collapsed="false">
      <c r="A31" s="15" t="s">
        <v>443</v>
      </c>
      <c r="B31" s="15" t="s">
        <v>447</v>
      </c>
      <c r="C31" s="15" t="s">
        <v>432</v>
      </c>
      <c r="D31" s="14" t="s">
        <v>52</v>
      </c>
      <c r="E31" s="16"/>
    </row>
    <row r="32" customFormat="false" ht="15" hidden="false" customHeight="false" outlineLevel="0" collapsed="false">
      <c r="A32" s="15" t="s">
        <v>448</v>
      </c>
      <c r="B32" s="15" t="s">
        <v>449</v>
      </c>
      <c r="C32" s="15" t="s">
        <v>450</v>
      </c>
      <c r="D32" s="14" t="s">
        <v>52</v>
      </c>
      <c r="E32" s="16"/>
    </row>
    <row r="33" customFormat="false" ht="15" hidden="false" customHeight="false" outlineLevel="0" collapsed="false">
      <c r="A33" s="15" t="s">
        <v>448</v>
      </c>
      <c r="B33" s="15" t="s">
        <v>451</v>
      </c>
      <c r="C33" s="15" t="s">
        <v>452</v>
      </c>
      <c r="D33" s="14" t="s">
        <v>52</v>
      </c>
      <c r="E33" s="16"/>
    </row>
    <row r="34" customFormat="false" ht="15" hidden="false" customHeight="false" outlineLevel="0" collapsed="false">
      <c r="A34" s="15" t="s">
        <v>448</v>
      </c>
      <c r="B34" s="15" t="s">
        <v>453</v>
      </c>
      <c r="C34" s="15" t="s">
        <v>454</v>
      </c>
      <c r="D34" s="14" t="s">
        <v>52</v>
      </c>
      <c r="E34" s="16"/>
    </row>
    <row r="35" customFormat="false" ht="15" hidden="false" customHeight="false" outlineLevel="0" collapsed="false">
      <c r="A35" s="15" t="s">
        <v>448</v>
      </c>
      <c r="B35" s="15" t="s">
        <v>455</v>
      </c>
      <c r="C35" s="15" t="s">
        <v>454</v>
      </c>
      <c r="D35" s="14" t="s">
        <v>52</v>
      </c>
      <c r="E35" s="16"/>
    </row>
    <row r="36" customFormat="false" ht="15" hidden="false" customHeight="false" outlineLevel="0" collapsed="false">
      <c r="A36" s="15" t="s">
        <v>456</v>
      </c>
      <c r="B36" s="15" t="s">
        <v>457</v>
      </c>
      <c r="C36" s="15" t="s">
        <v>458</v>
      </c>
      <c r="D36" s="14" t="s">
        <v>52</v>
      </c>
      <c r="E36" s="16"/>
    </row>
    <row r="37" customFormat="false" ht="15" hidden="false" customHeight="false" outlineLevel="0" collapsed="false">
      <c r="A37" s="15" t="s">
        <v>456</v>
      </c>
      <c r="B37" s="15" t="s">
        <v>459</v>
      </c>
      <c r="C37" s="15" t="s">
        <v>460</v>
      </c>
      <c r="D37" s="14" t="s">
        <v>52</v>
      </c>
      <c r="E37" s="16"/>
    </row>
    <row r="38" customFormat="false" ht="15" hidden="false" customHeight="false" outlineLevel="0" collapsed="false">
      <c r="A38" s="15" t="s">
        <v>456</v>
      </c>
      <c r="B38" s="15" t="s">
        <v>461</v>
      </c>
      <c r="C38" s="15" t="s">
        <v>458</v>
      </c>
      <c r="D38" s="14" t="s">
        <v>52</v>
      </c>
      <c r="E38" s="16"/>
    </row>
    <row r="39" customFormat="false" ht="15" hidden="false" customHeight="false" outlineLevel="0" collapsed="false">
      <c r="A39" s="15" t="s">
        <v>456</v>
      </c>
      <c r="B39" s="15" t="s">
        <v>462</v>
      </c>
      <c r="C39" s="15" t="s">
        <v>460</v>
      </c>
      <c r="D39" s="14" t="s">
        <v>52</v>
      </c>
      <c r="E39" s="16"/>
    </row>
    <row r="40" customFormat="false" ht="15" hidden="false" customHeight="false" outlineLevel="0" collapsed="false">
      <c r="A40" s="15" t="s">
        <v>456</v>
      </c>
      <c r="B40" s="15" t="s">
        <v>463</v>
      </c>
      <c r="C40" s="15" t="s">
        <v>458</v>
      </c>
      <c r="D40" s="14" t="s">
        <v>52</v>
      </c>
      <c r="E40" s="16"/>
    </row>
    <row r="41" customFormat="false" ht="15" hidden="false" customHeight="false" outlineLevel="0" collapsed="false">
      <c r="A41" s="15" t="s">
        <v>456</v>
      </c>
      <c r="B41" s="15" t="s">
        <v>464</v>
      </c>
      <c r="C41" s="15" t="s">
        <v>465</v>
      </c>
      <c r="D41" s="14" t="s">
        <v>52</v>
      </c>
      <c r="E41" s="16"/>
    </row>
    <row r="42" customFormat="false" ht="15" hidden="false" customHeight="false" outlineLevel="0" collapsed="false">
      <c r="A42" s="15" t="s">
        <v>466</v>
      </c>
      <c r="B42" s="15" t="s">
        <v>467</v>
      </c>
      <c r="C42" s="15" t="s">
        <v>468</v>
      </c>
      <c r="D42" s="14" t="s">
        <v>52</v>
      </c>
      <c r="E42" s="16"/>
    </row>
    <row r="43" customFormat="false" ht="15" hidden="false" customHeight="false" outlineLevel="0" collapsed="false">
      <c r="A43" s="15" t="s">
        <v>466</v>
      </c>
      <c r="B43" s="15" t="s">
        <v>469</v>
      </c>
      <c r="C43" s="15" t="s">
        <v>468</v>
      </c>
      <c r="D43" s="14" t="s">
        <v>52</v>
      </c>
      <c r="E43" s="16"/>
    </row>
    <row r="44" customFormat="false" ht="15" hidden="false" customHeight="false" outlineLevel="0" collapsed="false">
      <c r="A44" s="15" t="s">
        <v>466</v>
      </c>
      <c r="B44" s="15" t="s">
        <v>470</v>
      </c>
      <c r="C44" s="15" t="s">
        <v>468</v>
      </c>
      <c r="D44" s="14" t="s">
        <v>52</v>
      </c>
      <c r="E44" s="16"/>
    </row>
    <row r="45" customFormat="false" ht="15" hidden="false" customHeight="false" outlineLevel="0" collapsed="false">
      <c r="A45" s="15" t="s">
        <v>471</v>
      </c>
      <c r="B45" s="15" t="s">
        <v>472</v>
      </c>
      <c r="C45" s="15" t="s">
        <v>473</v>
      </c>
      <c r="D45" s="14" t="s">
        <v>52</v>
      </c>
      <c r="E45" s="16"/>
    </row>
    <row r="46" customFormat="false" ht="15" hidden="false" customHeight="false" outlineLevel="0" collapsed="false">
      <c r="A46" s="15" t="s">
        <v>471</v>
      </c>
      <c r="B46" s="15" t="s">
        <v>474</v>
      </c>
      <c r="C46" s="15" t="s">
        <v>473</v>
      </c>
      <c r="D46" s="14" t="s">
        <v>52</v>
      </c>
      <c r="E46" s="16"/>
    </row>
    <row r="47" customFormat="false" ht="15" hidden="false" customHeight="false" outlineLevel="0" collapsed="false">
      <c r="A47" s="15" t="s">
        <v>471</v>
      </c>
      <c r="B47" s="15" t="s">
        <v>475</v>
      </c>
      <c r="C47" s="15" t="s">
        <v>473</v>
      </c>
      <c r="D47" s="14" t="s">
        <v>52</v>
      </c>
      <c r="E47" s="16"/>
    </row>
    <row r="48" customFormat="false" ht="15" hidden="false" customHeight="false" outlineLevel="0" collapsed="false">
      <c r="A48" s="15" t="s">
        <v>471</v>
      </c>
      <c r="B48" s="15" t="s">
        <v>476</v>
      </c>
      <c r="C48" s="15" t="s">
        <v>473</v>
      </c>
      <c r="D48" s="14" t="s">
        <v>52</v>
      </c>
      <c r="E48" s="16"/>
    </row>
    <row r="49" customFormat="false" ht="15" hidden="false" customHeight="false" outlineLevel="0" collapsed="false">
      <c r="A49" s="15" t="s">
        <v>471</v>
      </c>
      <c r="B49" s="15" t="s">
        <v>477</v>
      </c>
      <c r="C49" s="15" t="s">
        <v>473</v>
      </c>
      <c r="D49" s="14" t="s">
        <v>52</v>
      </c>
      <c r="E49" s="16"/>
    </row>
    <row r="50" customFormat="false" ht="15" hidden="false" customHeight="false" outlineLevel="0" collapsed="false">
      <c r="A50" s="15" t="s">
        <v>471</v>
      </c>
      <c r="B50" s="15" t="s">
        <v>478</v>
      </c>
      <c r="C50" s="15" t="s">
        <v>473</v>
      </c>
      <c r="D50" s="14" t="s">
        <v>52</v>
      </c>
      <c r="E50" s="16"/>
    </row>
  </sheetData>
  <mergeCells count="1">
    <mergeCell ref="A2:E2"/>
  </mergeCells>
  <conditionalFormatting sqref="D5:D50">
    <cfRule type="cellIs" priority="2" operator="equal" aboveAverage="0" equalAverage="0" bottom="0" percent="0" rank="0" text="" dxfId="0">
      <formula>"Selesai"</formula>
    </cfRule>
    <cfRule type="cellIs" priority="3" operator="equal" aboveAverage="0" equalAverage="0" bottom="0" percent="0" rank="0" text="" dxfId="1">
      <formula>"Proses"</formula>
    </cfRule>
    <cfRule type="cellIs" priority="4" operator="equal" aboveAverage="0" equalAverage="0" bottom="0" percent="0" rank="0" text="" dxfId="2">
      <formula>"Belum"</formula>
    </cfRule>
  </conditionalFormatting>
  <dataValidations count="1">
    <dataValidation allowBlank="false" errorStyle="stop" operator="between" showDropDown="false" showErrorMessage="false" showInputMessage="false" sqref="D5:D50" type="list">
      <formula1>"Belum,Proses,Selesai"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32"/>
    <col collapsed="false" customWidth="true" hidden="false" outlineLevel="0" max="4" min="4" style="0" width="12"/>
    <col collapsed="false" customWidth="true" hidden="false" outlineLevel="0" max="5" min="5" style="0" width="26"/>
    <col collapsed="false" customWidth="true" hidden="false" outlineLevel="0" max="6" min="6" style="0" width="10"/>
    <col collapsed="false" customWidth="true" hidden="false" outlineLevel="0" max="7" min="7" style="0" width="30"/>
  </cols>
  <sheetData>
    <row r="1" customFormat="false" ht="18" hidden="false" customHeight="true" outlineLevel="0" collapsed="false">
      <c r="A1" s="11" t="s">
        <v>479</v>
      </c>
    </row>
    <row r="2" customFormat="false" ht="42" hidden="false" customHeight="true" outlineLevel="0" collapsed="false">
      <c r="A2" s="12" t="s">
        <v>480</v>
      </c>
      <c r="B2" s="12"/>
      <c r="C2" s="12"/>
      <c r="D2" s="12"/>
      <c r="E2" s="12"/>
      <c r="F2" s="12"/>
      <c r="G2" s="12"/>
    </row>
    <row r="4" customFormat="false" ht="31.5" hidden="false" customHeight="true" outlineLevel="0" collapsed="false">
      <c r="A4" s="13" t="s">
        <v>481</v>
      </c>
      <c r="B4" s="13" t="s">
        <v>482</v>
      </c>
      <c r="C4" s="13" t="s">
        <v>483</v>
      </c>
      <c r="D4" s="13" t="s">
        <v>484</v>
      </c>
      <c r="E4" s="13" t="s">
        <v>485</v>
      </c>
      <c r="F4" s="13" t="s">
        <v>40</v>
      </c>
      <c r="G4" s="13" t="s">
        <v>486</v>
      </c>
    </row>
    <row r="5" customFormat="false" ht="15" hidden="false" customHeight="false" outlineLevel="0" collapsed="false">
      <c r="A5" s="15" t="s">
        <v>487</v>
      </c>
      <c r="B5" s="15" t="s">
        <v>488</v>
      </c>
      <c r="C5" s="15" t="s">
        <v>489</v>
      </c>
      <c r="D5" s="26" t="n">
        <v>0.15</v>
      </c>
      <c r="E5" s="15" t="s">
        <v>141</v>
      </c>
      <c r="F5" s="14" t="s">
        <v>52</v>
      </c>
      <c r="G5" s="16"/>
    </row>
    <row r="6" customFormat="false" ht="38.25" hidden="false" customHeight="true" outlineLevel="0" collapsed="false">
      <c r="A6" s="15" t="s">
        <v>490</v>
      </c>
      <c r="B6" s="15" t="s">
        <v>491</v>
      </c>
      <c r="C6" s="15" t="s">
        <v>492</v>
      </c>
      <c r="D6" s="26" t="n">
        <v>0.25</v>
      </c>
      <c r="E6" s="15" t="s">
        <v>141</v>
      </c>
      <c r="F6" s="14" t="s">
        <v>52</v>
      </c>
      <c r="G6" s="16"/>
    </row>
    <row r="7" customFormat="false" ht="25.5" hidden="false" customHeight="true" outlineLevel="0" collapsed="false">
      <c r="A7" s="15" t="s">
        <v>493</v>
      </c>
      <c r="B7" s="15" t="s">
        <v>494</v>
      </c>
      <c r="C7" s="15" t="s">
        <v>495</v>
      </c>
      <c r="D7" s="26" t="n">
        <v>0.8</v>
      </c>
      <c r="E7" s="15" t="s">
        <v>496</v>
      </c>
      <c r="F7" s="14" t="s">
        <v>52</v>
      </c>
      <c r="G7" s="16"/>
    </row>
    <row r="8" customFormat="false" ht="25.5" hidden="false" customHeight="true" outlineLevel="0" collapsed="false">
      <c r="A8" s="15" t="s">
        <v>497</v>
      </c>
      <c r="B8" s="15" t="s">
        <v>498</v>
      </c>
      <c r="C8" s="15" t="s">
        <v>499</v>
      </c>
      <c r="D8" s="26" t="n">
        <v>1</v>
      </c>
      <c r="E8" s="15" t="s">
        <v>141</v>
      </c>
      <c r="F8" s="14" t="s">
        <v>52</v>
      </c>
      <c r="G8" s="16"/>
    </row>
    <row r="9" customFormat="false" ht="25.5" hidden="false" customHeight="true" outlineLevel="0" collapsed="false">
      <c r="A9" s="15" t="s">
        <v>500</v>
      </c>
      <c r="B9" s="15" t="s">
        <v>501</v>
      </c>
      <c r="C9" s="15" t="s">
        <v>502</v>
      </c>
      <c r="D9" s="26" t="n">
        <v>0.6</v>
      </c>
      <c r="E9" s="15" t="s">
        <v>503</v>
      </c>
      <c r="F9" s="14" t="s">
        <v>52</v>
      </c>
      <c r="G9" s="16"/>
    </row>
    <row r="10" customFormat="false" ht="25.5" hidden="false" customHeight="true" outlineLevel="0" collapsed="false">
      <c r="A10" s="15" t="s">
        <v>504</v>
      </c>
      <c r="B10" s="15" t="s">
        <v>505</v>
      </c>
      <c r="C10" s="15" t="s">
        <v>506</v>
      </c>
      <c r="D10" s="26" t="n">
        <v>0.4</v>
      </c>
      <c r="E10" s="15" t="s">
        <v>141</v>
      </c>
      <c r="F10" s="14" t="s">
        <v>52</v>
      </c>
      <c r="G10" s="16"/>
    </row>
    <row r="11" customFormat="false" ht="25.5" hidden="false" customHeight="true" outlineLevel="0" collapsed="false">
      <c r="A11" s="15" t="s">
        <v>507</v>
      </c>
      <c r="B11" s="15" t="s">
        <v>508</v>
      </c>
      <c r="C11" s="15" t="s">
        <v>509</v>
      </c>
      <c r="D11" s="26" t="n">
        <v>0.5</v>
      </c>
      <c r="E11" s="15" t="s">
        <v>510</v>
      </c>
      <c r="F11" s="14" t="s">
        <v>52</v>
      </c>
      <c r="G11" s="16"/>
    </row>
    <row r="12" customFormat="false" ht="25.5" hidden="false" customHeight="true" outlineLevel="0" collapsed="false">
      <c r="A12" s="15" t="s">
        <v>511</v>
      </c>
      <c r="B12" s="15" t="s">
        <v>512</v>
      </c>
      <c r="C12" s="15" t="s">
        <v>513</v>
      </c>
      <c r="D12" s="26" t="n">
        <v>0.3</v>
      </c>
      <c r="E12" s="15" t="s">
        <v>141</v>
      </c>
      <c r="F12" s="14" t="s">
        <v>52</v>
      </c>
      <c r="G12" s="16"/>
    </row>
    <row r="13" customFormat="false" ht="15" hidden="false" customHeight="false" outlineLevel="0" collapsed="false">
      <c r="A13" s="15" t="s">
        <v>514</v>
      </c>
      <c r="B13" s="15" t="s">
        <v>515</v>
      </c>
      <c r="C13" s="15" t="s">
        <v>516</v>
      </c>
      <c r="D13" s="26" t="n">
        <v>1.3</v>
      </c>
      <c r="E13" s="15" t="s">
        <v>517</v>
      </c>
      <c r="F13" s="14" t="s">
        <v>52</v>
      </c>
      <c r="G13" s="16"/>
    </row>
    <row r="14" customFormat="false" ht="15" hidden="false" customHeight="false" outlineLevel="0" collapsed="false">
      <c r="A14" s="15" t="s">
        <v>518</v>
      </c>
      <c r="B14" s="15" t="s">
        <v>519</v>
      </c>
      <c r="C14" s="15" t="s">
        <v>520</v>
      </c>
      <c r="D14" s="26" t="n">
        <v>0.8</v>
      </c>
      <c r="E14" s="15" t="s">
        <v>141</v>
      </c>
      <c r="F14" s="14" t="s">
        <v>52</v>
      </c>
      <c r="G14" s="16"/>
    </row>
    <row r="15" customFormat="false" ht="25.5" hidden="false" customHeight="true" outlineLevel="0" collapsed="false">
      <c r="A15" s="15" t="s">
        <v>521</v>
      </c>
      <c r="B15" s="15" t="s">
        <v>522</v>
      </c>
      <c r="C15" s="15" t="s">
        <v>523</v>
      </c>
      <c r="D15" s="26" t="n">
        <v>0.5</v>
      </c>
      <c r="E15" s="15" t="s">
        <v>141</v>
      </c>
      <c r="F15" s="14" t="s">
        <v>52</v>
      </c>
      <c r="G15" s="16"/>
    </row>
    <row r="16" customFormat="false" ht="15" hidden="false" customHeight="false" outlineLevel="0" collapsed="false">
      <c r="A16" s="15" t="s">
        <v>524</v>
      </c>
      <c r="B16" s="15" t="s">
        <v>525</v>
      </c>
      <c r="C16" s="15" t="s">
        <v>526</v>
      </c>
      <c r="D16" s="26" t="n">
        <v>0.35</v>
      </c>
      <c r="E16" s="15" t="s">
        <v>141</v>
      </c>
      <c r="F16" s="14" t="s">
        <v>52</v>
      </c>
      <c r="G16" s="16"/>
    </row>
    <row r="17" customFormat="false" ht="25.5" hidden="false" customHeight="true" outlineLevel="0" collapsed="false">
      <c r="A17" s="15" t="s">
        <v>527</v>
      </c>
      <c r="B17" s="15" t="s">
        <v>528</v>
      </c>
      <c r="C17" s="15" t="s">
        <v>141</v>
      </c>
      <c r="D17" s="26" t="n">
        <v>0.05</v>
      </c>
      <c r="E17" s="15" t="s">
        <v>141</v>
      </c>
      <c r="F17" s="14" t="s">
        <v>52</v>
      </c>
      <c r="G17" s="16"/>
    </row>
    <row r="18" customFormat="false" ht="25.5" hidden="false" customHeight="true" outlineLevel="0" collapsed="false">
      <c r="A18" s="15" t="s">
        <v>529</v>
      </c>
      <c r="B18" s="15" t="s">
        <v>530</v>
      </c>
      <c r="C18" s="15" t="s">
        <v>531</v>
      </c>
      <c r="D18" s="26" t="n">
        <v>0.7</v>
      </c>
      <c r="E18" s="15" t="s">
        <v>141</v>
      </c>
      <c r="F18" s="14" t="s">
        <v>52</v>
      </c>
      <c r="G18" s="16"/>
    </row>
    <row r="19" customFormat="false" ht="15" hidden="false" customHeight="false" outlineLevel="0" collapsed="false">
      <c r="C19" s="28" t="s">
        <v>532</v>
      </c>
      <c r="D19" s="29" t="n">
        <f aca="false">SUM(D5:D18)</f>
        <v>7.7</v>
      </c>
      <c r="E19" s="28" t="str">
        <f aca="false">IF(AND(D19&gt;=6,D19&lt;=8),"OK: dalam 6–8 halaman","PERIKSA: di luar 6–8 halaman")</f>
        <v>OK: dalam 6–8 halaman</v>
      </c>
    </row>
  </sheetData>
  <mergeCells count="1">
    <mergeCell ref="A2:G2"/>
  </mergeCells>
  <conditionalFormatting sqref="F5:F18">
    <cfRule type="cellIs" priority="2" operator="equal" aboveAverage="0" equalAverage="0" bottom="0" percent="0" rank="0" text="" dxfId="0">
      <formula>"Selesai"</formula>
    </cfRule>
    <cfRule type="cellIs" priority="3" operator="equal" aboveAverage="0" equalAverage="0" bottom="0" percent="0" rank="0" text="" dxfId="1">
      <formula>"Proses"</formula>
    </cfRule>
    <cfRule type="cellIs" priority="4" operator="equal" aboveAverage="0" equalAverage="0" bottom="0" percent="0" rank="0" text="" dxfId="2">
      <formula>"Belum"</formula>
    </cfRule>
  </conditionalFormatting>
  <dataValidations count="1">
    <dataValidation allowBlank="false" errorStyle="stop" operator="between" showDropDown="false" showErrorMessage="false" showInputMessage="false" sqref="F5:F18" type="list">
      <formula1>"Belum,Proses,Selesai"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95"/>
    <col collapsed="false" customWidth="true" hidden="false" outlineLevel="0" max="4" min="4" style="0" width="26"/>
    <col collapsed="false" customWidth="true" hidden="false" outlineLevel="0" max="5" min="5" style="0" width="14"/>
    <col collapsed="false" customWidth="true" hidden="false" outlineLevel="0" max="6" min="6" style="0" width="60"/>
  </cols>
  <sheetData>
    <row r="1" customFormat="false" ht="18" hidden="false" customHeight="true" outlineLevel="0" collapsed="false">
      <c r="A1" s="11" t="s">
        <v>533</v>
      </c>
    </row>
    <row r="2" customFormat="false" ht="42" hidden="false" customHeight="true" outlineLevel="0" collapsed="false">
      <c r="A2" s="12" t="s">
        <v>534</v>
      </c>
      <c r="B2" s="12"/>
      <c r="C2" s="12"/>
      <c r="D2" s="12"/>
      <c r="E2" s="12"/>
      <c r="F2" s="12"/>
    </row>
    <row r="4" customFormat="false" ht="31.5" hidden="false" customHeight="true" outlineLevel="0" collapsed="false">
      <c r="A4" s="13" t="s">
        <v>27</v>
      </c>
      <c r="B4" s="13" t="s">
        <v>535</v>
      </c>
      <c r="C4" s="13" t="s">
        <v>536</v>
      </c>
      <c r="D4" s="13" t="s">
        <v>537</v>
      </c>
      <c r="E4" s="13" t="s">
        <v>538</v>
      </c>
      <c r="F4" s="13" t="s">
        <v>539</v>
      </c>
    </row>
    <row r="5" customFormat="false" ht="25.5" hidden="false" customHeight="true" outlineLevel="0" collapsed="false">
      <c r="A5" s="14" t="n">
        <v>1</v>
      </c>
      <c r="B5" s="15" t="s">
        <v>540</v>
      </c>
      <c r="C5" s="15" t="s">
        <v>541</v>
      </c>
      <c r="D5" s="15" t="s">
        <v>542</v>
      </c>
      <c r="E5" s="14" t="s">
        <v>52</v>
      </c>
      <c r="F5" s="16" t="s">
        <v>543</v>
      </c>
    </row>
    <row r="6" customFormat="false" ht="25.5" hidden="false" customHeight="true" outlineLevel="0" collapsed="false">
      <c r="A6" s="14" t="n">
        <v>2</v>
      </c>
      <c r="B6" s="15" t="s">
        <v>544</v>
      </c>
      <c r="C6" s="15" t="s">
        <v>545</v>
      </c>
      <c r="D6" s="15" t="s">
        <v>546</v>
      </c>
      <c r="E6" s="14" t="s">
        <v>52</v>
      </c>
      <c r="F6" s="16"/>
    </row>
    <row r="7" customFormat="false" ht="25.5" hidden="false" customHeight="true" outlineLevel="0" collapsed="false">
      <c r="A7" s="14" t="n">
        <v>3</v>
      </c>
      <c r="B7" s="15" t="s">
        <v>85</v>
      </c>
      <c r="C7" s="15" t="s">
        <v>547</v>
      </c>
      <c r="D7" s="15" t="s">
        <v>546</v>
      </c>
      <c r="E7" s="14" t="s">
        <v>52</v>
      </c>
      <c r="F7" s="16"/>
    </row>
    <row r="8" customFormat="false" ht="25.5" hidden="false" customHeight="true" outlineLevel="0" collapsed="false">
      <c r="A8" s="14" t="n">
        <v>4</v>
      </c>
      <c r="B8" s="15" t="s">
        <v>85</v>
      </c>
      <c r="C8" s="15" t="s">
        <v>548</v>
      </c>
      <c r="D8" s="15" t="s">
        <v>542</v>
      </c>
      <c r="E8" s="14" t="s">
        <v>52</v>
      </c>
      <c r="F8" s="16"/>
    </row>
    <row r="9" customFormat="false" ht="25.5" hidden="false" customHeight="true" outlineLevel="0" collapsed="false">
      <c r="A9" s="14" t="n">
        <v>5</v>
      </c>
      <c r="B9" s="15" t="s">
        <v>103</v>
      </c>
      <c r="C9" s="15" t="s">
        <v>549</v>
      </c>
      <c r="D9" s="15" t="s">
        <v>542</v>
      </c>
      <c r="E9" s="14" t="s">
        <v>52</v>
      </c>
      <c r="F9" s="16"/>
    </row>
    <row r="10" customFormat="false" ht="15" hidden="false" customHeight="false" outlineLevel="0" collapsed="false">
      <c r="A10" s="14" t="n">
        <v>6</v>
      </c>
      <c r="B10" s="15" t="s">
        <v>103</v>
      </c>
      <c r="C10" s="15" t="s">
        <v>550</v>
      </c>
      <c r="D10" s="15" t="s">
        <v>542</v>
      </c>
      <c r="E10" s="14" t="s">
        <v>52</v>
      </c>
      <c r="F10" s="16"/>
    </row>
    <row r="11" customFormat="false" ht="25.5" hidden="false" customHeight="true" outlineLevel="0" collapsed="false">
      <c r="A11" s="14" t="n">
        <v>7</v>
      </c>
      <c r="B11" s="15" t="s">
        <v>551</v>
      </c>
      <c r="C11" s="15" t="s">
        <v>552</v>
      </c>
      <c r="D11" s="15" t="s">
        <v>542</v>
      </c>
      <c r="E11" s="14" t="s">
        <v>52</v>
      </c>
      <c r="F11" s="16"/>
    </row>
    <row r="12" customFormat="false" ht="25.5" hidden="false" customHeight="true" outlineLevel="0" collapsed="false">
      <c r="A12" s="14" t="n">
        <v>8</v>
      </c>
      <c r="B12" s="15" t="s">
        <v>553</v>
      </c>
      <c r="C12" s="15" t="s">
        <v>554</v>
      </c>
      <c r="D12" s="15" t="s">
        <v>542</v>
      </c>
      <c r="E12" s="14" t="s">
        <v>52</v>
      </c>
      <c r="F12" s="16"/>
    </row>
    <row r="13" customFormat="false" ht="25.5" hidden="false" customHeight="true" outlineLevel="0" collapsed="false">
      <c r="A13" s="14" t="n">
        <v>9</v>
      </c>
      <c r="B13" s="15" t="s">
        <v>555</v>
      </c>
      <c r="C13" s="15" t="s">
        <v>556</v>
      </c>
      <c r="D13" s="15" t="s">
        <v>542</v>
      </c>
      <c r="E13" s="14" t="s">
        <v>52</v>
      </c>
      <c r="F13" s="16" t="s">
        <v>557</v>
      </c>
    </row>
    <row r="14" customFormat="false" ht="25.5" hidden="false" customHeight="true" outlineLevel="0" collapsed="false">
      <c r="A14" s="14" t="n">
        <v>10</v>
      </c>
      <c r="B14" s="15" t="s">
        <v>555</v>
      </c>
      <c r="C14" s="15" t="s">
        <v>558</v>
      </c>
      <c r="D14" s="15" t="s">
        <v>542</v>
      </c>
      <c r="E14" s="14" t="s">
        <v>52</v>
      </c>
      <c r="F14" s="16"/>
    </row>
    <row r="15" customFormat="false" ht="15" hidden="false" customHeight="false" outlineLevel="0" collapsed="false">
      <c r="A15" s="14" t="n">
        <v>11</v>
      </c>
      <c r="B15" s="15" t="s">
        <v>559</v>
      </c>
      <c r="C15" s="15" t="s">
        <v>560</v>
      </c>
      <c r="D15" s="15" t="s">
        <v>542</v>
      </c>
      <c r="E15" s="14" t="s">
        <v>52</v>
      </c>
      <c r="F15" s="16" t="s">
        <v>561</v>
      </c>
    </row>
    <row r="16" customFormat="false" ht="15" hidden="false" customHeight="false" outlineLevel="0" collapsed="false">
      <c r="A16" s="14" t="n">
        <v>12</v>
      </c>
      <c r="B16" s="15" t="s">
        <v>562</v>
      </c>
      <c r="C16" s="15" t="s">
        <v>563</v>
      </c>
      <c r="D16" s="15" t="s">
        <v>564</v>
      </c>
      <c r="E16" s="14" t="s">
        <v>52</v>
      </c>
      <c r="F16" s="16"/>
    </row>
    <row r="17" customFormat="false" ht="15" hidden="false" customHeight="false" outlineLevel="0" collapsed="false">
      <c r="A17" s="14" t="n">
        <v>13</v>
      </c>
      <c r="B17" s="15" t="s">
        <v>565</v>
      </c>
      <c r="C17" s="15" t="s">
        <v>566</v>
      </c>
      <c r="D17" s="15" t="s">
        <v>567</v>
      </c>
      <c r="E17" s="14" t="s">
        <v>52</v>
      </c>
      <c r="F17" s="16" t="s">
        <v>568</v>
      </c>
    </row>
    <row r="18" customFormat="false" ht="15" hidden="false" customHeight="false" outlineLevel="0" collapsed="false">
      <c r="A18" s="14" t="n">
        <v>14</v>
      </c>
      <c r="B18" s="15" t="s">
        <v>565</v>
      </c>
      <c r="C18" s="15" t="s">
        <v>569</v>
      </c>
      <c r="D18" s="15" t="s">
        <v>570</v>
      </c>
      <c r="E18" s="14" t="s">
        <v>52</v>
      </c>
      <c r="F18" s="16" t="s">
        <v>568</v>
      </c>
    </row>
    <row r="20" customFormat="false" ht="15" hidden="false" customHeight="false" outlineLevel="0" collapsed="false">
      <c r="C20" s="28" t="s">
        <v>571</v>
      </c>
      <c r="D20" s="28" t="n">
        <f aca="false">COUNTIFS(D5:D18,"*Internasional",E5:E18,"Selesai")</f>
        <v>0</v>
      </c>
    </row>
    <row r="21" customFormat="false" ht="15" hidden="false" customHeight="false" outlineLevel="0" collapsed="false">
      <c r="C21" s="28" t="s">
        <v>572</v>
      </c>
      <c r="D21" s="28" t="n">
        <f aca="false">COUNTIF(E5:E18,"Selesai")</f>
        <v>0</v>
      </c>
    </row>
  </sheetData>
  <mergeCells count="1">
    <mergeCell ref="A2:F2"/>
  </mergeCells>
  <dataValidations count="1">
    <dataValidation allowBlank="false" errorStyle="stop" operator="between" showDropDown="false" showErrorMessage="false" showInputMessage="false" sqref="E5:E18" type="list">
      <formula1>"Belum,Proses,Selesai"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70"/>
    <col collapsed="false" customWidth="true" hidden="false" outlineLevel="0" max="4" min="4" style="0" width="28"/>
    <col collapsed="false" customWidth="true" hidden="false" outlineLevel="0" max="5" min="5" style="0" width="22"/>
    <col collapsed="false" customWidth="true" hidden="false" outlineLevel="0" max="6" min="6" style="0" width="10"/>
  </cols>
  <sheetData>
    <row r="1" customFormat="false" ht="18" hidden="false" customHeight="true" outlineLevel="0" collapsed="false">
      <c r="A1" s="11" t="s">
        <v>573</v>
      </c>
    </row>
    <row r="2" customFormat="false" ht="42" hidden="false" customHeight="true" outlineLevel="0" collapsed="false">
      <c r="A2" s="12" t="s">
        <v>574</v>
      </c>
      <c r="B2" s="12"/>
      <c r="C2" s="12"/>
      <c r="D2" s="12"/>
      <c r="E2" s="12"/>
      <c r="F2" s="12"/>
    </row>
    <row r="4" customFormat="false" ht="31.5" hidden="false" customHeight="true" outlineLevel="0" collapsed="false">
      <c r="A4" s="13" t="s">
        <v>575</v>
      </c>
      <c r="B4" s="13" t="s">
        <v>576</v>
      </c>
      <c r="C4" s="13" t="s">
        <v>577</v>
      </c>
      <c r="D4" s="13" t="s">
        <v>578</v>
      </c>
      <c r="E4" s="13" t="s">
        <v>579</v>
      </c>
      <c r="F4" s="13" t="s">
        <v>40</v>
      </c>
    </row>
    <row r="5" customFormat="false" ht="15" hidden="false" customHeight="false" outlineLevel="0" collapsed="false">
      <c r="A5" s="15" t="s">
        <v>580</v>
      </c>
      <c r="B5" s="15" t="s">
        <v>581</v>
      </c>
      <c r="C5" s="15" t="s">
        <v>582</v>
      </c>
      <c r="D5" s="15" t="s">
        <v>583</v>
      </c>
      <c r="E5" s="15" t="s">
        <v>584</v>
      </c>
      <c r="F5" s="14" t="s">
        <v>52</v>
      </c>
    </row>
    <row r="6" customFormat="false" ht="15" hidden="false" customHeight="false" outlineLevel="0" collapsed="false">
      <c r="A6" s="15" t="s">
        <v>580</v>
      </c>
      <c r="B6" s="15" t="s">
        <v>585</v>
      </c>
      <c r="C6" s="15" t="s">
        <v>586</v>
      </c>
      <c r="D6" s="15" t="s">
        <v>587</v>
      </c>
      <c r="E6" s="15" t="s">
        <v>588</v>
      </c>
      <c r="F6" s="14" t="s">
        <v>52</v>
      </c>
    </row>
    <row r="7" customFormat="false" ht="15" hidden="false" customHeight="false" outlineLevel="0" collapsed="false">
      <c r="A7" s="15" t="s">
        <v>580</v>
      </c>
      <c r="B7" s="15" t="s">
        <v>585</v>
      </c>
      <c r="C7" s="15" t="s">
        <v>589</v>
      </c>
      <c r="D7" s="15" t="s">
        <v>590</v>
      </c>
      <c r="E7" s="15" t="s">
        <v>588</v>
      </c>
      <c r="F7" s="14" t="s">
        <v>52</v>
      </c>
    </row>
    <row r="8" customFormat="false" ht="25.5" hidden="false" customHeight="true" outlineLevel="0" collapsed="false">
      <c r="A8" s="15" t="s">
        <v>580</v>
      </c>
      <c r="B8" s="15" t="s">
        <v>585</v>
      </c>
      <c r="C8" s="15" t="s">
        <v>591</v>
      </c>
      <c r="D8" s="15" t="s">
        <v>592</v>
      </c>
      <c r="E8" s="15" t="s">
        <v>588</v>
      </c>
      <c r="F8" s="14" t="s">
        <v>52</v>
      </c>
    </row>
    <row r="9" customFormat="false" ht="15" hidden="false" customHeight="false" outlineLevel="0" collapsed="false">
      <c r="A9" s="15" t="s">
        <v>593</v>
      </c>
      <c r="B9" s="15" t="s">
        <v>594</v>
      </c>
      <c r="C9" s="15" t="s">
        <v>595</v>
      </c>
      <c r="D9" s="15" t="s">
        <v>596</v>
      </c>
      <c r="E9" s="15" t="s">
        <v>588</v>
      </c>
      <c r="F9" s="14" t="s">
        <v>52</v>
      </c>
    </row>
    <row r="10" customFormat="false" ht="15" hidden="false" customHeight="false" outlineLevel="0" collapsed="false">
      <c r="A10" s="15" t="s">
        <v>593</v>
      </c>
      <c r="B10" s="15" t="s">
        <v>594</v>
      </c>
      <c r="C10" s="15" t="s">
        <v>597</v>
      </c>
      <c r="D10" s="15" t="s">
        <v>598</v>
      </c>
      <c r="E10" s="15" t="s">
        <v>599</v>
      </c>
      <c r="F10" s="14" t="s">
        <v>52</v>
      </c>
    </row>
    <row r="11" customFormat="false" ht="15" hidden="false" customHeight="false" outlineLevel="0" collapsed="false">
      <c r="A11" s="15" t="s">
        <v>593</v>
      </c>
      <c r="B11" s="15" t="s">
        <v>600</v>
      </c>
      <c r="C11" s="15" t="s">
        <v>601</v>
      </c>
      <c r="D11" s="15" t="s">
        <v>602</v>
      </c>
      <c r="E11" s="15" t="s">
        <v>603</v>
      </c>
      <c r="F11" s="14" t="s">
        <v>52</v>
      </c>
    </row>
    <row r="12" customFormat="false" ht="15" hidden="false" customHeight="false" outlineLevel="0" collapsed="false">
      <c r="A12" s="15" t="s">
        <v>593</v>
      </c>
      <c r="B12" s="15" t="s">
        <v>604</v>
      </c>
      <c r="C12" s="15" t="s">
        <v>605</v>
      </c>
      <c r="D12" s="15" t="s">
        <v>606</v>
      </c>
      <c r="E12" s="15" t="s">
        <v>607</v>
      </c>
      <c r="F12" s="14" t="s">
        <v>52</v>
      </c>
    </row>
    <row r="13" customFormat="false" ht="15" hidden="false" customHeight="false" outlineLevel="0" collapsed="false">
      <c r="A13" s="15" t="s">
        <v>593</v>
      </c>
      <c r="B13" s="15" t="s">
        <v>608</v>
      </c>
      <c r="C13" s="15" t="s">
        <v>609</v>
      </c>
      <c r="D13" s="15" t="s">
        <v>610</v>
      </c>
      <c r="E13" s="15" t="s">
        <v>611</v>
      </c>
      <c r="F13" s="14" t="s">
        <v>52</v>
      </c>
    </row>
    <row r="14" customFormat="false" ht="15" hidden="false" customHeight="false" outlineLevel="0" collapsed="false">
      <c r="A14" s="15" t="s">
        <v>593</v>
      </c>
      <c r="B14" s="15" t="s">
        <v>585</v>
      </c>
      <c r="C14" s="15" t="s">
        <v>612</v>
      </c>
      <c r="D14" s="15" t="s">
        <v>613</v>
      </c>
      <c r="E14" s="15" t="s">
        <v>614</v>
      </c>
      <c r="F14" s="14" t="s">
        <v>52</v>
      </c>
    </row>
    <row r="15" customFormat="false" ht="15" hidden="false" customHeight="false" outlineLevel="0" collapsed="false">
      <c r="A15" s="15" t="s">
        <v>615</v>
      </c>
      <c r="B15" s="15" t="s">
        <v>594</v>
      </c>
      <c r="C15" s="15" t="s">
        <v>616</v>
      </c>
      <c r="D15" s="15" t="s">
        <v>617</v>
      </c>
      <c r="E15" s="15" t="s">
        <v>618</v>
      </c>
      <c r="F15" s="14" t="s">
        <v>52</v>
      </c>
    </row>
    <row r="16" customFormat="false" ht="15" hidden="false" customHeight="false" outlineLevel="0" collapsed="false">
      <c r="A16" s="15" t="s">
        <v>615</v>
      </c>
      <c r="B16" s="15" t="s">
        <v>600</v>
      </c>
      <c r="C16" s="15" t="s">
        <v>619</v>
      </c>
      <c r="D16" s="15" t="s">
        <v>620</v>
      </c>
      <c r="E16" s="15" t="s">
        <v>621</v>
      </c>
      <c r="F16" s="14" t="s">
        <v>52</v>
      </c>
    </row>
    <row r="17" customFormat="false" ht="25.5" hidden="false" customHeight="true" outlineLevel="0" collapsed="false">
      <c r="A17" s="15" t="s">
        <v>615</v>
      </c>
      <c r="B17" s="15" t="s">
        <v>608</v>
      </c>
      <c r="C17" s="15" t="s">
        <v>622</v>
      </c>
      <c r="D17" s="15" t="s">
        <v>623</v>
      </c>
      <c r="E17" s="15" t="s">
        <v>621</v>
      </c>
      <c r="F17" s="14" t="s">
        <v>52</v>
      </c>
    </row>
    <row r="18" customFormat="false" ht="15" hidden="false" customHeight="false" outlineLevel="0" collapsed="false">
      <c r="A18" s="15" t="s">
        <v>615</v>
      </c>
      <c r="B18" s="15" t="s">
        <v>585</v>
      </c>
      <c r="C18" s="15" t="s">
        <v>624</v>
      </c>
      <c r="D18" s="15" t="s">
        <v>625</v>
      </c>
      <c r="E18" s="15" t="s">
        <v>626</v>
      </c>
      <c r="F18" s="14" t="s">
        <v>52</v>
      </c>
    </row>
    <row r="19" customFormat="false" ht="15" hidden="false" customHeight="false" outlineLevel="0" collapsed="false">
      <c r="A19" s="15" t="s">
        <v>627</v>
      </c>
      <c r="B19" s="15" t="s">
        <v>594</v>
      </c>
      <c r="C19" s="15" t="s">
        <v>628</v>
      </c>
      <c r="D19" s="15" t="s">
        <v>629</v>
      </c>
      <c r="E19" s="15" t="s">
        <v>630</v>
      </c>
      <c r="F19" s="14" t="s">
        <v>52</v>
      </c>
    </row>
  </sheetData>
  <mergeCells count="1">
    <mergeCell ref="A2:F2"/>
  </mergeCells>
  <conditionalFormatting sqref="F5:F19">
    <cfRule type="cellIs" priority="2" operator="equal" aboveAverage="0" equalAverage="0" bottom="0" percent="0" rank="0" text="" dxfId="0">
      <formula>"Selesai"</formula>
    </cfRule>
    <cfRule type="cellIs" priority="3" operator="equal" aboveAverage="0" equalAverage="0" bottom="0" percent="0" rank="0" text="" dxfId="1">
      <formula>"Proses"</formula>
    </cfRule>
    <cfRule type="cellIs" priority="4" operator="equal" aboveAverage="0" equalAverage="0" bottom="0" percent="0" rank="0" text="" dxfId="2">
      <formula>"Belum"</formula>
    </cfRule>
  </conditionalFormatting>
  <dataValidations count="1">
    <dataValidation allowBlank="false" errorStyle="stop" operator="between" showDropDown="false" showErrorMessage="false" showInputMessage="false" sqref="F5:F19" type="list">
      <formula1>"Belum,Proses,Selesai"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2026-10-02T09:35:31Z</dcterms:created>
  <dc:creator>openpyxl</dc:creator>
  <dc:description/>
  <dc:language>en-US</dc:language>
  <cp:lastModifiedBy>Amalia Khoirum</cp:lastModifiedBy>
  <dcterms:modified xsi:type="dcterms:W3CDTF">2026-10-03T06:19:54Z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